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3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37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38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34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vnd.openxmlformats-officedocument.spreadsheetml.worksheet+xml" PartName="/xl/worksheets/sheet35.xml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34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35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6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38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openxmlformats-officedocument.drawing+xml" PartName="/xl/drawings/drawing37.xml"/>
  <Override ContentType="application/vnd.openxmlformats-officedocument.spreadsheetml.styles+xml" PartName="/xl/styles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Library" sheetId="1" r:id="rId3"/>
    <sheet state="visible" name="TeacherTimeTable" sheetId="2" r:id="rId4"/>
    <sheet state="visible" name="TeacherMaster" sheetId="3" r:id="rId5"/>
    <sheet state="visible" name="ClassMasterTimeTable" sheetId="4" r:id="rId6"/>
    <sheet state="visible" name="TeacherList" sheetId="5" r:id="rId7"/>
    <sheet state="visible" name="6A" sheetId="6" r:id="rId8"/>
    <sheet state="visible" name="6B" sheetId="7" r:id="rId9"/>
    <sheet state="visible" name="6C" sheetId="8" r:id="rId10"/>
    <sheet state="visible" name="6D" sheetId="9" r:id="rId11"/>
    <sheet state="visible" name="6E" sheetId="10" r:id="rId12"/>
    <sheet state="visible" name="7A" sheetId="11" r:id="rId13"/>
    <sheet state="visible" name="7B" sheetId="12" r:id="rId14"/>
    <sheet state="visible" name="7C" sheetId="13" r:id="rId15"/>
    <sheet state="visible" name="7D" sheetId="14" r:id="rId16"/>
    <sheet state="visible" name="7E" sheetId="15" r:id="rId17"/>
    <sheet state="visible" name="8A" sheetId="16" r:id="rId18"/>
    <sheet state="visible" name="8B" sheetId="17" r:id="rId19"/>
    <sheet state="visible" name="8C" sheetId="18" r:id="rId20"/>
    <sheet state="visible" name="8D" sheetId="19" r:id="rId21"/>
    <sheet state="visible" name="8E" sheetId="20" r:id="rId22"/>
    <sheet state="visible" name="9A" sheetId="21" r:id="rId23"/>
    <sheet state="visible" name="9B" sheetId="22" r:id="rId24"/>
    <sheet state="visible" name="9C" sheetId="23" r:id="rId25"/>
    <sheet state="visible" name="9D" sheetId="24" r:id="rId26"/>
    <sheet state="visible" name="9E" sheetId="25" r:id="rId27"/>
    <sheet state="visible" name="10A" sheetId="26" r:id="rId28"/>
    <sheet state="visible" name="10B" sheetId="27" r:id="rId29"/>
    <sheet state="visible" name="10C" sheetId="28" r:id="rId30"/>
    <sheet state="visible" name="10D" sheetId="29" r:id="rId31"/>
    <sheet state="visible" name="10E" sheetId="30" r:id="rId32"/>
    <sheet state="visible" name="11A" sheetId="31" r:id="rId33"/>
    <sheet state="visible" name="11B" sheetId="32" r:id="rId34"/>
    <sheet state="visible" name="11C" sheetId="33" r:id="rId35"/>
    <sheet state="visible" name="11D" sheetId="34" r:id="rId36"/>
    <sheet state="visible" name="12A" sheetId="35" r:id="rId37"/>
    <sheet state="visible" name="12B" sheetId="36" r:id="rId38"/>
    <sheet state="visible" name="12C" sheetId="37" r:id="rId39"/>
    <sheet state="visible" name="12D" sheetId="38" r:id="rId40"/>
  </sheets>
  <definedNames>
    <definedName name="PhysicalTraining">TeacherList!$Q$2</definedName>
    <definedName name="Computers">TeacherList!$G$2:$G$4</definedName>
    <definedName name="FifthSubject">TeacherList!$H$2:$H$6</definedName>
    <definedName name="Art">TeacherList!$X$2</definedName>
    <definedName name="SixthSubject_ICSE">TeacherList!$F$2:$F$8</definedName>
    <definedName name="ThirdLanguage">TeacherList!$U$2:$U$14</definedName>
    <definedName name="History">TeacherList!$P$2:$P$8</definedName>
    <definedName name="EnglishLit">TeacherList!$I$2:$I$14</definedName>
    <definedName name="Physics">TeacherList!$K$2:$K$4</definedName>
    <definedName name="Teachers">'6A'!$A$26:$B$41</definedName>
    <definedName name="SixthSubjectISCommerce">TeacherList!$D$2:$D$5</definedName>
    <definedName name="Teachers6C">'6C'!$A$26:$B$42</definedName>
    <definedName name="Subjects">TeacherList!$AA$2:$AA$27</definedName>
    <definedName name="GK">TeacherList!$W$2</definedName>
    <definedName name="Economics">TeacherList!$A$15</definedName>
    <definedName name="Bengali_2nd">TeacherList!$U$2:$U$3</definedName>
    <definedName name="Chemistry">TeacherList!$L$2:$L$4</definedName>
    <definedName name="Biology">TeacherList!$M$2:$M$5</definedName>
    <definedName name="EnglishLang">TeacherList!$J$2:$J$14</definedName>
    <definedName name="SixthSubject">TeacherList!$A$15:$A$20</definedName>
    <definedName name="Geography">TeacherList!$T$2:$T$5</definedName>
    <definedName name="Maths">TeacherList!$A$2:$A$10</definedName>
    <definedName name="Classes">TeacherList!$AC$2:$AC$34</definedName>
    <definedName name="Music">TeacherList!$O$2</definedName>
    <definedName name="GeneralScience">TeacherList!$N$2:$N$6</definedName>
    <definedName name="Teachers6B">'6B'!$A$27:$B$43</definedName>
    <definedName name="Economics_ICSE">TeacherList!$A$17:$A$18</definedName>
    <definedName name="Morals">TeacherList!$R$2:$R$51</definedName>
    <definedName name="SecondLanguage">TeacherList!$V$2:$V$14</definedName>
    <definedName name="SixthSubjectISCScience">TeacherList!$E$2</definedName>
    <definedName name="Economics_ISC">TeacherList!$A$15:$A$16</definedName>
    <definedName name="Accounts">TeacherList!$B$2:$B$3</definedName>
    <definedName name="Commerce">TeacherList!$C$2:$C$4</definedName>
    <definedName name="TimeTable">TeacherTimeTable!$B$3:$AG$31</definedName>
    <definedName name="Library">TeacherList!$S$2:$S$3</definedName>
  </definedNames>
  <calcPr/>
</workbook>
</file>

<file path=xl/sharedStrings.xml><?xml version="1.0" encoding="utf-8"?>
<sst xmlns="http://schemas.openxmlformats.org/spreadsheetml/2006/main" count="6184" uniqueCount="625">
  <si>
    <t>Teacher Name</t>
  </si>
  <si>
    <t>Library</t>
  </si>
  <si>
    <t>Monday</t>
  </si>
  <si>
    <t>Tuesday</t>
  </si>
  <si>
    <t>1st Period</t>
  </si>
  <si>
    <t>2nd Period</t>
  </si>
  <si>
    <t>Wednesday</t>
  </si>
  <si>
    <t>3rd Period</t>
  </si>
  <si>
    <t>4th Period</t>
  </si>
  <si>
    <t>5th Period</t>
  </si>
  <si>
    <t>Thursday</t>
  </si>
  <si>
    <t>Friday</t>
  </si>
  <si>
    <t>Aatreyee Chowdhury</t>
  </si>
  <si>
    <t>6th Period</t>
  </si>
  <si>
    <t>1st</t>
  </si>
  <si>
    <t>7th Period</t>
  </si>
  <si>
    <t>8th Period</t>
  </si>
  <si>
    <t>Abhishweta Roy Choudhury</t>
  </si>
  <si>
    <t>2nd</t>
  </si>
  <si>
    <t>3rd</t>
  </si>
  <si>
    <t>4th</t>
  </si>
  <si>
    <t>5th</t>
  </si>
  <si>
    <t>6th</t>
  </si>
  <si>
    <t>7th</t>
  </si>
  <si>
    <t>8th</t>
  </si>
  <si>
    <t>Abirlal Chatterjee</t>
  </si>
  <si>
    <t>Anannya Dasgupta</t>
  </si>
  <si>
    <t>Aniket Lawrence Mondal</t>
  </si>
  <si>
    <t>Day/ Period</t>
  </si>
  <si>
    <t>Select</t>
  </si>
  <si>
    <t>8C,Biology</t>
  </si>
  <si>
    <t>12A&amp;12B,FifthSubject</t>
  </si>
  <si>
    <t>8C,Morals</t>
  </si>
  <si>
    <t>Mon</t>
  </si>
  <si>
    <t>8C,BIO</t>
  </si>
  <si>
    <t>12A&amp;12B,5thSUB</t>
  </si>
  <si>
    <t>6C,MOR.</t>
  </si>
  <si>
    <t>10C,PHY</t>
  </si>
  <si>
    <t>Tue</t>
  </si>
  <si>
    <t>8C,MOR.</t>
  </si>
  <si>
    <t>6C,E1</t>
  </si>
  <si>
    <t>10C,MOR.</t>
  </si>
  <si>
    <t>ATC</t>
  </si>
  <si>
    <t>11D,6thISC</t>
  </si>
  <si>
    <t>Wed</t>
  </si>
  <si>
    <t>6C,Morals</t>
  </si>
  <si>
    <t>6C,EnglishLang</t>
  </si>
  <si>
    <t>Thur</t>
  </si>
  <si>
    <t>ARC</t>
  </si>
  <si>
    <t>10C,Physics</t>
  </si>
  <si>
    <t>12A,PHY</t>
  </si>
  <si>
    <t>10C,Morals</t>
  </si>
  <si>
    <t>12A,Physics</t>
  </si>
  <si>
    <t>9C,Physics</t>
  </si>
  <si>
    <t>Fri</t>
  </si>
  <si>
    <t>AC</t>
  </si>
  <si>
    <t>AD</t>
  </si>
  <si>
    <t>11D,SixthSubjectISCommerce</t>
  </si>
  <si>
    <t>ALM</t>
  </si>
  <si>
    <t>Ankita Dhara</t>
  </si>
  <si>
    <t>AKD</t>
  </si>
  <si>
    <t>Annu Dhall</t>
  </si>
  <si>
    <t>11B,EnglishLit</t>
  </si>
  <si>
    <t>11C,EnglishLit</t>
  </si>
  <si>
    <t>12B,EnglishLang</t>
  </si>
  <si>
    <t>ADH</t>
  </si>
  <si>
    <t>Anupam Banerjee</t>
  </si>
  <si>
    <t>10E,EnglishLang</t>
  </si>
  <si>
    <t>12B,EnglishLit</t>
  </si>
  <si>
    <t>10E,Morals</t>
  </si>
  <si>
    <t>11A,EnglishLit</t>
  </si>
  <si>
    <t>Ashmita Chatterjee</t>
  </si>
  <si>
    <t>Biswajit Das</t>
  </si>
  <si>
    <t>AB</t>
  </si>
  <si>
    <t>6E,Morals</t>
  </si>
  <si>
    <t>6E,EnglishLang</t>
  </si>
  <si>
    <t>ASC</t>
  </si>
  <si>
    <t>8D,Chemistry</t>
  </si>
  <si>
    <t>8D,Morals</t>
  </si>
  <si>
    <t>12A,Chemistry</t>
  </si>
  <si>
    <t>11B,Chemistry</t>
  </si>
  <si>
    <t>BD</t>
  </si>
  <si>
    <t>Debarati Banerjee</t>
  </si>
  <si>
    <t>8A&amp;8B,SecondLanguage</t>
  </si>
  <si>
    <t>6E,SecondLanguage</t>
  </si>
  <si>
    <t>6A&amp;6B,SecondLanguage</t>
  </si>
  <si>
    <t>6A&amp;6B,ThirdLanguage</t>
  </si>
  <si>
    <t>7E,SecondLanguage</t>
  </si>
  <si>
    <t xml:space="preserve">Thursday </t>
  </si>
  <si>
    <t>7C&amp;7D,SecondLanguage</t>
  </si>
  <si>
    <t>7A&amp;7B,ThirdLanguage</t>
  </si>
  <si>
    <t>6E&amp;,ThirdLanguage</t>
  </si>
  <si>
    <t>8C&amp;8D,ThirdLanguage</t>
  </si>
  <si>
    <t>11B,E2</t>
  </si>
  <si>
    <t>10E,E1</t>
  </si>
  <si>
    <t>12B,E2</t>
  </si>
  <si>
    <t>DB</t>
  </si>
  <si>
    <t>6E,MOR.</t>
  </si>
  <si>
    <t>Debarshi Chakraborty</t>
  </si>
  <si>
    <t>8D,CHEM</t>
  </si>
  <si>
    <t>7B,Morals</t>
  </si>
  <si>
    <t>11A&amp;11B,FifthSubject</t>
  </si>
  <si>
    <t>7B,GeneralScience</t>
  </si>
  <si>
    <t>11C,E2</t>
  </si>
  <si>
    <t>10E,MOR.</t>
  </si>
  <si>
    <t>11B,E1</t>
  </si>
  <si>
    <t>6E,E1</t>
  </si>
  <si>
    <t>8D,MOR.</t>
  </si>
  <si>
    <t>12A,CHEM</t>
  </si>
  <si>
    <t>DC</t>
  </si>
  <si>
    <t>Gillian Zita Culpeper</t>
  </si>
  <si>
    <t>9A,EnglishLit</t>
  </si>
  <si>
    <t>9A,Morals</t>
  </si>
  <si>
    <t>11A,E2</t>
  </si>
  <si>
    <t>GC</t>
  </si>
  <si>
    <t>11B,CHEM</t>
  </si>
  <si>
    <t>Janet Pang</t>
  </si>
  <si>
    <t>JP</t>
  </si>
  <si>
    <t>Jaylakshmi Hazra</t>
  </si>
  <si>
    <t>12A&amp;12B,SixthSubjectISCScience</t>
  </si>
  <si>
    <t>12B,E1</t>
  </si>
  <si>
    <t>11A&amp;11B,SixthSubjectISCScience</t>
  </si>
  <si>
    <t>JHR</t>
  </si>
  <si>
    <t>Labanya Chakraborty</t>
  </si>
  <si>
    <t>7A,Morals</t>
  </si>
  <si>
    <t>7A,EnglishLit</t>
  </si>
  <si>
    <t>LC</t>
  </si>
  <si>
    <t>Lina Mondal</t>
  </si>
  <si>
    <t>8E,SecondLanguage</t>
  </si>
  <si>
    <t>10C&amp;10D,SecondLanguage</t>
  </si>
  <si>
    <t>6C&amp;6D,SecondLanguage</t>
  </si>
  <si>
    <t>9A&amp;9B,SecondLanguage</t>
  </si>
  <si>
    <t>7A&amp;7B,SecondLanguage</t>
  </si>
  <si>
    <t>7E&amp;,ThirdLanguage</t>
  </si>
  <si>
    <t>8A&amp;8B,ThirdLanguage</t>
  </si>
  <si>
    <t>LM</t>
  </si>
  <si>
    <t>Class</t>
  </si>
  <si>
    <t>Malobee Paul</t>
  </si>
  <si>
    <t>10A,Physics</t>
  </si>
  <si>
    <t>6A</t>
  </si>
  <si>
    <t>11B,Physics</t>
  </si>
  <si>
    <t>10A,Morals</t>
  </si>
  <si>
    <t>MP</t>
  </si>
  <si>
    <t>Mathew Sam</t>
  </si>
  <si>
    <t>11C,Accounts</t>
  </si>
  <si>
    <t>12D,Commerce</t>
  </si>
  <si>
    <t>Sharmilee Acharyya</t>
  </si>
  <si>
    <t>12C,Accounts</t>
  </si>
  <si>
    <t>6B</t>
  </si>
  <si>
    <t>MS</t>
  </si>
  <si>
    <t>6C</t>
  </si>
  <si>
    <t>Monideepa Roy</t>
  </si>
  <si>
    <t>7E,Morals</t>
  </si>
  <si>
    <t>7E,EnglishLang</t>
  </si>
  <si>
    <t>6D</t>
  </si>
  <si>
    <t>MR</t>
  </si>
  <si>
    <t>Monidipa Mukherjee</t>
  </si>
  <si>
    <t>6A,Morals</t>
  </si>
  <si>
    <t>10A&amp;10B,SixthSubject_ICSE</t>
  </si>
  <si>
    <t>6E</t>
  </si>
  <si>
    <t>6A,Computers</t>
  </si>
  <si>
    <t>9C&amp;9D,SixthSubject_ICSE</t>
  </si>
  <si>
    <t>7A</t>
  </si>
  <si>
    <t>8A&amp;8B,2ndL</t>
  </si>
  <si>
    <t>Ranita Datta</t>
  </si>
  <si>
    <t>7B</t>
  </si>
  <si>
    <t>6E,2ndL</t>
  </si>
  <si>
    <t>6A&amp;6B,2ndL</t>
  </si>
  <si>
    <t>Rishita Mukherjee</t>
  </si>
  <si>
    <t>6A&amp;6B,3rdL</t>
  </si>
  <si>
    <t>7C</t>
  </si>
  <si>
    <t>7E,2ndL</t>
  </si>
  <si>
    <t>MM</t>
  </si>
  <si>
    <t>7B,MOR.</t>
  </si>
  <si>
    <t>7D</t>
  </si>
  <si>
    <t>11A&amp;11B,5thSUB</t>
  </si>
  <si>
    <t>Partha Pratim Lahiri</t>
  </si>
  <si>
    <t>11A,Chemistry</t>
  </si>
  <si>
    <t>7B,GEN.SC.</t>
  </si>
  <si>
    <t>7E</t>
  </si>
  <si>
    <t>9A,E2</t>
  </si>
  <si>
    <t>8A</t>
  </si>
  <si>
    <t>12B,Chemistry</t>
  </si>
  <si>
    <t>12A&amp;12B,6thISC</t>
  </si>
  <si>
    <t>8B</t>
  </si>
  <si>
    <t>8C</t>
  </si>
  <si>
    <t>PPL</t>
  </si>
  <si>
    <t>Paul Jacob</t>
  </si>
  <si>
    <t>8D</t>
  </si>
  <si>
    <t>Catechism</t>
  </si>
  <si>
    <t>11C,SixthSubjectISCommerce</t>
  </si>
  <si>
    <t>7C&amp;7D,2ndL</t>
  </si>
  <si>
    <t>8E</t>
  </si>
  <si>
    <t>9A,MOR.</t>
  </si>
  <si>
    <t>9A</t>
  </si>
  <si>
    <t>PJ</t>
  </si>
  <si>
    <t>Sampa Saha</t>
  </si>
  <si>
    <t>Peter Gomes</t>
  </si>
  <si>
    <t>7A&amp;7B,Music</t>
  </si>
  <si>
    <t>9B</t>
  </si>
  <si>
    <t>6A&amp;6B,Music</t>
  </si>
  <si>
    <t>Shaswati Chatterjee</t>
  </si>
  <si>
    <t>6C&amp;7C,Music</t>
  </si>
  <si>
    <t>9C</t>
  </si>
  <si>
    <t>6D&amp;6E,Music</t>
  </si>
  <si>
    <t>7D&amp;7E,Music</t>
  </si>
  <si>
    <t>7A&amp;7B,3rdL</t>
  </si>
  <si>
    <t>6E&amp;,3rdL</t>
  </si>
  <si>
    <t>PG</t>
  </si>
  <si>
    <t>9D</t>
  </si>
  <si>
    <t>Priyadarsan Bhual</t>
  </si>
  <si>
    <t>12A,Maths</t>
  </si>
  <si>
    <t>9E</t>
  </si>
  <si>
    <t>11C,Maths</t>
  </si>
  <si>
    <t>10A</t>
  </si>
  <si>
    <t>11A&amp;11B,6thISC</t>
  </si>
  <si>
    <t>Samhita Chatterjee</t>
  </si>
  <si>
    <t>10B</t>
  </si>
  <si>
    <t>PB</t>
  </si>
  <si>
    <t>Roy Joseph P.</t>
  </si>
  <si>
    <t>Priyanka Ghosh Kumar</t>
  </si>
  <si>
    <t>10C</t>
  </si>
  <si>
    <t>8B,History</t>
  </si>
  <si>
    <t>8C&amp;8D,3rdL</t>
  </si>
  <si>
    <t>8B,Morals</t>
  </si>
  <si>
    <t>10D</t>
  </si>
  <si>
    <t>10E</t>
  </si>
  <si>
    <t>PGK</t>
  </si>
  <si>
    <t>6D,Morals</t>
  </si>
  <si>
    <t>6D,EnglishLit</t>
  </si>
  <si>
    <t>11A</t>
  </si>
  <si>
    <t>11B</t>
  </si>
  <si>
    <t>RD</t>
  </si>
  <si>
    <t>Rekha Shaw</t>
  </si>
  <si>
    <t>Ransdel Manuel</t>
  </si>
  <si>
    <t>11C</t>
  </si>
  <si>
    <t>8A&amp;8B,PhysicalTraining</t>
  </si>
  <si>
    <t>8E,PhysicalTraining</t>
  </si>
  <si>
    <t>10A&amp;10B,PhysicalTraining</t>
  </si>
  <si>
    <t>11D</t>
  </si>
  <si>
    <t>9A&amp;9B,PhysicalTraining</t>
  </si>
  <si>
    <t>8C&amp;8D,PhysicalTraining</t>
  </si>
  <si>
    <t>12A</t>
  </si>
  <si>
    <t>9E,PhysicalTraining</t>
  </si>
  <si>
    <t>10C&amp;10D,PhysicalTraining</t>
  </si>
  <si>
    <t>12B</t>
  </si>
  <si>
    <t>RM</t>
  </si>
  <si>
    <t>Shely Das</t>
  </si>
  <si>
    <t>Rebecca Venita Tamang Karthak</t>
  </si>
  <si>
    <t>12C</t>
  </si>
  <si>
    <t>9D,History</t>
  </si>
  <si>
    <t>12D</t>
  </si>
  <si>
    <t>Sanchayan K Ray</t>
  </si>
  <si>
    <t>-</t>
  </si>
  <si>
    <t>9D,Morals</t>
  </si>
  <si>
    <t>RBT</t>
  </si>
  <si>
    <t>10A&amp;10B,SecondLanguage</t>
  </si>
  <si>
    <t>9C&amp;9D,SecondLanguage</t>
  </si>
  <si>
    <t>7A,MOR.</t>
  </si>
  <si>
    <t>7A,E2</t>
  </si>
  <si>
    <t>RSH</t>
  </si>
  <si>
    <t>8E,2ndL</t>
  </si>
  <si>
    <t>10C&amp;10D,2ndL</t>
  </si>
  <si>
    <t>7C,Morals</t>
  </si>
  <si>
    <t>6C&amp;6D,2ndL</t>
  </si>
  <si>
    <t>7C,GeneralScience</t>
  </si>
  <si>
    <t>9A&amp;9B,2ndL</t>
  </si>
  <si>
    <t>10A,PHY</t>
  </si>
  <si>
    <t>11B,PHY</t>
  </si>
  <si>
    <t>9C,Maths</t>
  </si>
  <si>
    <t>12D,Maths</t>
  </si>
  <si>
    <t>7E,MOR.</t>
  </si>
  <si>
    <t>9C,Morals</t>
  </si>
  <si>
    <t>7E,E1</t>
  </si>
  <si>
    <t>11B,Maths</t>
  </si>
  <si>
    <t>RJ</t>
  </si>
  <si>
    <t>6B,Morals</t>
  </si>
  <si>
    <t>7A&amp;7B,2ndL</t>
  </si>
  <si>
    <t>8C&amp;8D,SecondLanguage</t>
  </si>
  <si>
    <t>10A,MOR.</t>
  </si>
  <si>
    <t>7E,Art</t>
  </si>
  <si>
    <t>6B,History</t>
  </si>
  <si>
    <t>12C,ACC</t>
  </si>
  <si>
    <t>7C&amp;7D,ThirdLanguage</t>
  </si>
  <si>
    <t>8E&amp;,ThirdLanguage</t>
  </si>
  <si>
    <t>7E&amp;,3rdL</t>
  </si>
  <si>
    <t>11C,ACC</t>
  </si>
  <si>
    <t>SC</t>
  </si>
  <si>
    <t>9B,Maths</t>
  </si>
  <si>
    <t>9B,Morals</t>
  </si>
  <si>
    <t>12B,Maths</t>
  </si>
  <si>
    <t>11D,Maths</t>
  </si>
  <si>
    <t>8A&amp;8B,3rdL</t>
  </si>
  <si>
    <t>SS</t>
  </si>
  <si>
    <t>12D,COMM</t>
  </si>
  <si>
    <t>10C&amp;10D,SixthSubject_ICSE</t>
  </si>
  <si>
    <t>9A&amp;9B,SixthSubject_ICSE</t>
  </si>
  <si>
    <t>SKR</t>
  </si>
  <si>
    <t>Sanjay Gupta</t>
  </si>
  <si>
    <t>12D,Accounts</t>
  </si>
  <si>
    <t>12D,SixthSubjectISCommerce</t>
  </si>
  <si>
    <t>11C,Commerce</t>
  </si>
  <si>
    <t>12C,Commerce</t>
  </si>
  <si>
    <t>11D,Accounts</t>
  </si>
  <si>
    <t>SG</t>
  </si>
  <si>
    <t>11C,FifthSubject</t>
  </si>
  <si>
    <t>12C,SixthSubjectISCommerce</t>
  </si>
  <si>
    <t>12C&amp;12D,SixthSubjectISCommerce</t>
  </si>
  <si>
    <t>SMA</t>
  </si>
  <si>
    <t>10B,EnglishLang</t>
  </si>
  <si>
    <t>10B,Morals</t>
  </si>
  <si>
    <t>11A,EnglishLang</t>
  </si>
  <si>
    <t>SHC</t>
  </si>
  <si>
    <t>6C&amp;6D,ThirdLanguage</t>
  </si>
  <si>
    <t>6A,MOR.</t>
  </si>
  <si>
    <t>10A&amp;10B,6thICSE</t>
  </si>
  <si>
    <t>11A,CHEM</t>
  </si>
  <si>
    <t>CAT</t>
  </si>
  <si>
    <t>7A&amp;7B,MUS</t>
  </si>
  <si>
    <t>SD</t>
  </si>
  <si>
    <t>12A,MATHS</t>
  </si>
  <si>
    <t>Soma Das</t>
  </si>
  <si>
    <t>8A,EnglishLit</t>
  </si>
  <si>
    <t>12C,EnglishLang</t>
  </si>
  <si>
    <t>8A,Morals</t>
  </si>
  <si>
    <t>6A,COMP</t>
  </si>
  <si>
    <t>SMD</t>
  </si>
  <si>
    <t>9C&amp;9D,6thICSE</t>
  </si>
  <si>
    <t>Srabani Dhar</t>
  </si>
  <si>
    <t>12B,Physics</t>
  </si>
  <si>
    <t>11A,Physics</t>
  </si>
  <si>
    <t>11C,6thISC</t>
  </si>
  <si>
    <t>SRD</t>
  </si>
  <si>
    <t>Srabani Mondal</t>
  </si>
  <si>
    <t>6A&amp;6B,MUS</t>
  </si>
  <si>
    <t>SRM</t>
  </si>
  <si>
    <t>Sukhvinder Madhok</t>
  </si>
  <si>
    <t>9E,SecondLanguage</t>
  </si>
  <si>
    <t>SKD</t>
  </si>
  <si>
    <t>Suma Thomas</t>
  </si>
  <si>
    <t>10D,EnglishLang</t>
  </si>
  <si>
    <t>10D,Morals</t>
  </si>
  <si>
    <t>6C&amp;7C,MUS</t>
  </si>
  <si>
    <t>SUM</t>
  </si>
  <si>
    <t>Sumit Sengupta</t>
  </si>
  <si>
    <t>7D,Morals</t>
  </si>
  <si>
    <t>7D,Maths</t>
  </si>
  <si>
    <t>12B,CHEM</t>
  </si>
  <si>
    <t>SEN</t>
  </si>
  <si>
    <t>6D&amp;6E,MUS</t>
  </si>
  <si>
    <t>Sunita Nair</t>
  </si>
  <si>
    <t>12C,Maths</t>
  </si>
  <si>
    <t>11A,Maths</t>
  </si>
  <si>
    <t>11C,MATHS</t>
  </si>
  <si>
    <t>SN</t>
  </si>
  <si>
    <t>Thomas Antony</t>
  </si>
  <si>
    <t>11D,Commerce</t>
  </si>
  <si>
    <t>7D&amp;7E,MUS</t>
  </si>
  <si>
    <t>12C,FifthSubject</t>
  </si>
  <si>
    <t>TA</t>
  </si>
  <si>
    <t>Tulika Chatterjee</t>
  </si>
  <si>
    <t>9E,SixthSubject_ICSE</t>
  </si>
  <si>
    <t>TC</t>
  </si>
  <si>
    <t>Ushta Kutar</t>
  </si>
  <si>
    <t>8E,Geography</t>
  </si>
  <si>
    <t>8E,Morals</t>
  </si>
  <si>
    <t>UK</t>
  </si>
  <si>
    <t>Vincy Kuriakose</t>
  </si>
  <si>
    <t>9E,Maths</t>
  </si>
  <si>
    <t>9E,Morals</t>
  </si>
  <si>
    <t>VK</t>
  </si>
  <si>
    <t>James Badal + Fr.Rector</t>
  </si>
  <si>
    <t>JBG</t>
  </si>
  <si>
    <t>8B,HIST</t>
  </si>
  <si>
    <t>6D,MOR.</t>
  </si>
  <si>
    <t>8A&amp;8B,PT</t>
  </si>
  <si>
    <t>8E,PT</t>
  </si>
  <si>
    <t>10A&amp;10B,PT</t>
  </si>
  <si>
    <t>9D,HIST</t>
  </si>
  <si>
    <t>10A&amp;10B,2ndL</t>
  </si>
  <si>
    <t>9C&amp;9D,2ndL</t>
  </si>
  <si>
    <t>8B,MOR.</t>
  </si>
  <si>
    <t>6D,E2</t>
  </si>
  <si>
    <t>9A&amp;9B,PT</t>
  </si>
  <si>
    <t>9D,MOR.</t>
  </si>
  <si>
    <t>8C&amp;8D,PT</t>
  </si>
  <si>
    <t>9E,PT</t>
  </si>
  <si>
    <t>9C&amp;9D,PT</t>
  </si>
  <si>
    <t>10C&amp;10D,PT</t>
  </si>
  <si>
    <t>MOR.
MM</t>
  </si>
  <si>
    <t>2ndL
SD/DB</t>
  </si>
  <si>
    <t>3rdL
RSH/DB</t>
  </si>
  <si>
    <t>MOR.
SC</t>
  </si>
  <si>
    <t>MOR.
ARC</t>
  </si>
  <si>
    <t>2ndL
RSH/LM</t>
  </si>
  <si>
    <t>3rdL
SD/SRM</t>
  </si>
  <si>
    <t>MOR.
RD</t>
  </si>
  <si>
    <t>MOR.
ASC</t>
  </si>
  <si>
    <t>2ndL
SKD/DB</t>
  </si>
  <si>
    <t>COMP
MM</t>
  </si>
  <si>
    <t>MUS
PG</t>
  </si>
  <si>
    <t>HIST
SC</t>
  </si>
  <si>
    <t>E1
ARC</t>
  </si>
  <si>
    <t>7C,MOR.</t>
  </si>
  <si>
    <t>9C,MATHS</t>
  </si>
  <si>
    <t>12D,MATHS</t>
  </si>
  <si>
    <t>E2
RD</t>
  </si>
  <si>
    <t>6B,MOR.</t>
  </si>
  <si>
    <t>8C&amp;8D,2ndL</t>
  </si>
  <si>
    <t>E1
ASC</t>
  </si>
  <si>
    <t>7E,ART</t>
  </si>
  <si>
    <t>9B,MATHS</t>
  </si>
  <si>
    <t>10C&amp;10D,6thICSE</t>
  </si>
  <si>
    <t>7C,GEN.SC.</t>
  </si>
  <si>
    <t>9C,MOR.</t>
  </si>
  <si>
    <t>6B,HIST</t>
  </si>
  <si>
    <t>3rdL
SKD/DB</t>
  </si>
  <si>
    <t>9B,MOR.</t>
  </si>
  <si>
    <t>12B,MATHS</t>
  </si>
  <si>
    <t>9A&amp;9B,6thICSE</t>
  </si>
  <si>
    <t>7C&amp;7D,3rdL</t>
  </si>
  <si>
    <t>8E&amp;,3rdL</t>
  </si>
  <si>
    <t>11D,MATHS</t>
  </si>
  <si>
    <t>11B,MATHS</t>
  </si>
  <si>
    <t>MOR.
LC</t>
  </si>
  <si>
    <t>E2
LC</t>
  </si>
  <si>
    <t>MOR.
DC</t>
  </si>
  <si>
    <t>GEN.SC.
DC</t>
  </si>
  <si>
    <t>MOR.
RM</t>
  </si>
  <si>
    <t>MOR.
SEN</t>
  </si>
  <si>
    <t>MATHS
SEN</t>
  </si>
  <si>
    <t>MOR.
MR</t>
  </si>
  <si>
    <t>E1
MR</t>
  </si>
  <si>
    <t>ART
SC</t>
  </si>
  <si>
    <t>GEN.SC
DC</t>
  </si>
  <si>
    <t>GEN.SC
RM</t>
  </si>
  <si>
    <t>3rdL
SD/SC</t>
  </si>
  <si>
    <t>3rdL
RSH/LM</t>
  </si>
  <si>
    <t>6A&amp;6B,FifthSubject</t>
  </si>
  <si>
    <t>12D,ACC</t>
  </si>
  <si>
    <t>11C,COMM</t>
  </si>
  <si>
    <t>12D,6thISC</t>
  </si>
  <si>
    <t>11C,5thSUB</t>
  </si>
  <si>
    <t>12C,6thISC</t>
  </si>
  <si>
    <t>10B,E1</t>
  </si>
  <si>
    <t>GEN.SC.
RM</t>
  </si>
  <si>
    <t>6C&amp;6D,3rdL</t>
  </si>
  <si>
    <t>8A,E2</t>
  </si>
  <si>
    <t>12C,E1</t>
  </si>
  <si>
    <t>12C,COMM</t>
  </si>
  <si>
    <t>10B,MOR.</t>
  </si>
  <si>
    <t>11A,E1</t>
  </si>
  <si>
    <t>8A,MOR.</t>
  </si>
  <si>
    <t>6C&amp;6D,SixthSubjectISCommerce</t>
  </si>
  <si>
    <t>11D,ACC</t>
  </si>
  <si>
    <t>12C,LIB</t>
  </si>
  <si>
    <t>E2
SMD</t>
  </si>
  <si>
    <t>PT
RM</t>
  </si>
  <si>
    <t>HIST
PGK</t>
  </si>
  <si>
    <t>BIO
ATC</t>
  </si>
  <si>
    <t>2ndL
SKD/SC</t>
  </si>
  <si>
    <t>CHEM
BD</t>
  </si>
  <si>
    <t>GEO
UK</t>
  </si>
  <si>
    <t>MOR.
SMD</t>
  </si>
  <si>
    <t>MOR.
PGK</t>
  </si>
  <si>
    <t>MOR.
ATC</t>
  </si>
  <si>
    <t>MOR.
BD</t>
  </si>
  <si>
    <t>MOR.
UK</t>
  </si>
  <si>
    <t>12C&amp;12D,6thISC</t>
  </si>
  <si>
    <t>3rdL
SKD/LM</t>
  </si>
  <si>
    <t>LIB
SMA</t>
  </si>
  <si>
    <t>12B,PHY</t>
  </si>
  <si>
    <t>9E,2ndL</t>
  </si>
  <si>
    <t>10D,E1</t>
  </si>
  <si>
    <t>7D,MOR.</t>
  </si>
  <si>
    <t>7D,MATHS</t>
  </si>
  <si>
    <t>E2
GC</t>
  </si>
  <si>
    <t>2ndL
SD/LM</t>
  </si>
  <si>
    <t>MATHS
SS</t>
  </si>
  <si>
    <t>10D,MOR.</t>
  </si>
  <si>
    <t>MATHS
RJ</t>
  </si>
  <si>
    <t>2ndL
RSH/SC</t>
  </si>
  <si>
    <t>HIST
RBT</t>
  </si>
  <si>
    <t>MATHS
VK</t>
  </si>
  <si>
    <t>2ndL
SKD</t>
  </si>
  <si>
    <t>MOR.
GC</t>
  </si>
  <si>
    <t>6thICSE
SKR/TA</t>
  </si>
  <si>
    <t>MOR.
SS</t>
  </si>
  <si>
    <t>MOR.
RJ</t>
  </si>
  <si>
    <t>6thICSE
MM/SMA</t>
  </si>
  <si>
    <t>MOR.
RBT</t>
  </si>
  <si>
    <t>MOR.
VK</t>
  </si>
  <si>
    <t>6thICSE
TC</t>
  </si>
  <si>
    <t>LIB
SS</t>
  </si>
  <si>
    <t>MATHS
PB</t>
  </si>
  <si>
    <t>11A,PHY</t>
  </si>
  <si>
    <t>PHY
AC</t>
  </si>
  <si>
    <t>12C,MATHS</t>
  </si>
  <si>
    <t>11A,MATHS</t>
  </si>
  <si>
    <t>11D,COMM</t>
  </si>
  <si>
    <t>8E,GEO</t>
  </si>
  <si>
    <t>9E,MATHS</t>
  </si>
  <si>
    <t>6C,FifthSubject</t>
  </si>
  <si>
    <t>PHY
MP</t>
  </si>
  <si>
    <t>12C,5thSUB</t>
  </si>
  <si>
    <t>9E,6thICSE</t>
  </si>
  <si>
    <t>E1
SHC</t>
  </si>
  <si>
    <t>8E,MOR.</t>
  </si>
  <si>
    <t>9E,MOR.</t>
  </si>
  <si>
    <t>E1
SUM</t>
  </si>
  <si>
    <t>E1
AB</t>
  </si>
  <si>
    <t>MOR.
MP</t>
  </si>
  <si>
    <t>MOR.
SHC</t>
  </si>
  <si>
    <t>MOR.
AC</t>
  </si>
  <si>
    <t>MOR.
SUM</t>
  </si>
  <si>
    <t>MOR.
AB</t>
  </si>
  <si>
    <t>LIB
RJ</t>
  </si>
  <si>
    <t>MATHS
SN</t>
  </si>
  <si>
    <t>5thSUB
SKR/TA/DC</t>
  </si>
  <si>
    <t>CHEM
PPL</t>
  </si>
  <si>
    <t>E2
ADH</t>
  </si>
  <si>
    <t>5thSUB
SMA</t>
  </si>
  <si>
    <t>COMM
SG</t>
  </si>
  <si>
    <t>COMM
TA</t>
  </si>
  <si>
    <t>E2
AB</t>
  </si>
  <si>
    <t>6thISC
JHR/RM</t>
  </si>
  <si>
    <t>ACC
MS</t>
  </si>
  <si>
    <t>ACC
SG</t>
  </si>
  <si>
    <t>Maths</t>
  </si>
  <si>
    <t>Accounts</t>
  </si>
  <si>
    <t>Commerce</t>
  </si>
  <si>
    <t>SixthSubjectISCommerce</t>
  </si>
  <si>
    <t>SixthSubjectISCScience</t>
  </si>
  <si>
    <t>SixthSubject_ICSE</t>
  </si>
  <si>
    <t>Computers</t>
  </si>
  <si>
    <t>PHY
SRD</t>
  </si>
  <si>
    <t>FifthSubject</t>
  </si>
  <si>
    <t>EnglishLit</t>
  </si>
  <si>
    <t>EnglishLang</t>
  </si>
  <si>
    <t>Physics</t>
  </si>
  <si>
    <t>Chemistry</t>
  </si>
  <si>
    <t>Biology</t>
  </si>
  <si>
    <t>GeneralScience</t>
  </si>
  <si>
    <t>Music</t>
  </si>
  <si>
    <t>History</t>
  </si>
  <si>
    <t>PhysicalTraining</t>
  </si>
  <si>
    <t>Morals</t>
  </si>
  <si>
    <t>Geography</t>
  </si>
  <si>
    <t>ThirdLanguage</t>
  </si>
  <si>
    <t>SecondLanguage</t>
  </si>
  <si>
    <t>GK</t>
  </si>
  <si>
    <t>Art</t>
  </si>
  <si>
    <t>All Teachers</t>
  </si>
  <si>
    <t>Teacher Initials</t>
  </si>
  <si>
    <t>Subjects</t>
  </si>
  <si>
    <t>Subject Initials</t>
  </si>
  <si>
    <t>Classes</t>
  </si>
  <si>
    <t>No of Subjects</t>
  </si>
  <si>
    <t>Sharmilee Acharyya/Ransdel Manuel</t>
  </si>
  <si>
    <t>Jaylakshmi Hazra/Ransdel Manuel</t>
  </si>
  <si>
    <t>Sanchayan K Ray/Sharmilee Acharyya</t>
  </si>
  <si>
    <t>Sanchayan K Ray/Sharmilee Acharyya/Aatrayee Chowdhury</t>
  </si>
  <si>
    <t>Aatrayee Chowdhury</t>
  </si>
  <si>
    <t>Rekha Shaw/Lina Mondal</t>
  </si>
  <si>
    <t>ACC</t>
  </si>
  <si>
    <t>Sanjay Gupta/Ransdel Manuel</t>
  </si>
  <si>
    <t>Sanchayan K Ray/Thomas Antony</t>
  </si>
  <si>
    <t>Sanchayan K Ray/Sharmilee Acharyya/Debarshi Chakraborty</t>
  </si>
  <si>
    <t>Shely Das/Lina Mondal</t>
  </si>
  <si>
    <t>ART</t>
  </si>
  <si>
    <t>Paul Jacob/Ransdel Manuel</t>
  </si>
  <si>
    <t>Tulika Chatterjee/Sharmilee Acharyya</t>
  </si>
  <si>
    <t>Sukhvinder Madhok/Lina Mondal</t>
  </si>
  <si>
    <t>BIO</t>
  </si>
  <si>
    <t>Aniket Lawrence Mondal/Ransdel Manuel</t>
  </si>
  <si>
    <t>Tulika Chatterjee/Thomas Antony</t>
  </si>
  <si>
    <t>Rekha Shaw/Samhita Chatterjee</t>
  </si>
  <si>
    <t>BusinessStudies</t>
  </si>
  <si>
    <t>BST</t>
  </si>
  <si>
    <t>Monidipa Mukherjee/Sharmilee Acharyya</t>
  </si>
  <si>
    <t>Sanchayan K Ray/Thomas Antony/Debarshi Chakraborty</t>
  </si>
  <si>
    <t>Shely Das/Samhita Chatterjee</t>
  </si>
  <si>
    <t>CHEM</t>
  </si>
  <si>
    <t>Monidipa Mukherjee/Thomas Antony</t>
  </si>
  <si>
    <t>Sukhvinder Madhok/Samhita Chatterjee</t>
  </si>
  <si>
    <t>COMP</t>
  </si>
  <si>
    <t>Rekha Shaw/Debarati Banerjee</t>
  </si>
  <si>
    <t>E1</t>
  </si>
  <si>
    <t>Shely Das/Debarati Banerjee</t>
  </si>
  <si>
    <t>E2</t>
  </si>
  <si>
    <t>Sukhvinder Madhok/Debarati Banerjee</t>
  </si>
  <si>
    <t>E1
SMD</t>
  </si>
  <si>
    <t>5thSUB</t>
  </si>
  <si>
    <t>COMM
MS</t>
  </si>
  <si>
    <t>Rekha Shaw/Srabani Mondal</t>
  </si>
  <si>
    <t>GEN.SC.</t>
  </si>
  <si>
    <t>5thSUB
SKR/SMA/ATC</t>
  </si>
  <si>
    <t>Shely Das/Srabani Mondal</t>
  </si>
  <si>
    <t>5thSUB
TA</t>
  </si>
  <si>
    <t>GEO</t>
  </si>
  <si>
    <t>Sukhvinder Madhok/Srabani Mondal</t>
  </si>
  <si>
    <t>HIST</t>
  </si>
  <si>
    <t>LIB</t>
  </si>
  <si>
    <t>MATHS</t>
  </si>
  <si>
    <t>E1
ADH</t>
  </si>
  <si>
    <t>MOR.</t>
  </si>
  <si>
    <t>LIB
ARC</t>
  </si>
  <si>
    <t>PT</t>
  </si>
  <si>
    <t>PHY</t>
  </si>
  <si>
    <t>2ndL</t>
  </si>
  <si>
    <t>ECO/COMP</t>
  </si>
  <si>
    <t>6thISC
SMA/RM</t>
  </si>
  <si>
    <t>3rdL</t>
  </si>
  <si>
    <t>MUS.</t>
  </si>
  <si>
    <t>EVS/PE</t>
  </si>
  <si>
    <t>BST/PE</t>
  </si>
  <si>
    <t>COMM</t>
  </si>
  <si>
    <t>Subject Teachers</t>
  </si>
  <si>
    <t>Periods Per Week</t>
  </si>
  <si>
    <t>Remaining Periods</t>
  </si>
  <si>
    <t>l</t>
  </si>
  <si>
    <t>Subject</t>
  </si>
  <si>
    <t>Subjects Teachers</t>
  </si>
  <si>
    <t>Double</t>
  </si>
  <si>
    <t>Sanchayan K Ray/Sharmilee Acharyya/Aatreyee Choudhary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</si>
</sst>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0">
    <font>
      <sz val="11.0"/>
      <color rgb="FF000000"/>
      <name val="Calibri"/>
    </font>
    <font>
      <b/>
      <sz val="11.0"/>
      <color rgb="FF000000"/>
      <name val="Calibri"/>
    </font>
    <font>
      <b/>
      <sz val="14.0"/>
      <color rgb="FF000000"/>
      <name val="Calibri"/>
    </font>
    <font>
      <b/>
      <sz val="18.0"/>
      <color rgb="FF000000"/>
      <name val="Calibri"/>
    </font>
    <font/>
    <font>
      <b/>
      <sz val="10.0"/>
      <color rgb="FF000000"/>
      <name val="Calibri"/>
    </font>
    <font>
      <b/>
      <sz val="12.0"/>
      <color rgb="FF000000"/>
      <name val="Calibri"/>
    </font>
    <font>
      <sz val="10.0"/>
      <color rgb="FF000000"/>
      <name val="Calibri"/>
    </font>
    <font>
      <sz val="11.0"/>
      <color rgb="FFFFFFFF"/>
      <name val="Calibri"/>
    </font>
    <font>
      <b/>
      <sz val="11.0"/>
      <name val="Calibri"/>
    </font>
  </fonts>
  <fills count="4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right style="double">
        <color rgb="FF000000"/>
      </right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  <bottom/>
    </border>
    <border>
      <bottom style="double">
        <color rgb="FF000000"/>
      </bottom>
    </border>
    <border>
      <right style="double">
        <color rgb="FF000000"/>
      </right>
      <bottom style="double">
        <color rgb="FF000000"/>
      </bottom>
    </border>
    <border>
      <left/>
      <right/>
      <top/>
      <bottom style="double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right style="thin">
        <color rgb="FF000000"/>
      </right>
    </border>
    <border>
      <right style="double">
        <color rgb="FF000000"/>
      </right>
      <top style="double">
        <color rgb="FF000000"/>
      </top>
    </border>
  </borders>
  <cellStyleXfs count="1">
    <xf borderId="0" fillId="0" fontId="0" numFmtId="0" applyAlignment="1" applyFont="1"/>
  </cellStyleXfs>
  <cellXfs count="35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0" numFmtId="0" xfId="0" applyAlignment="1" applyFont="1">
      <alignment horizontal="center"/>
    </xf>
    <xf borderId="0" fillId="0" fontId="2" numFmtId="0" xfId="0" applyAlignment="1" applyFont="1">
      <alignment horizontal="center"/>
    </xf>
    <xf borderId="1" fillId="2" fontId="0" numFmtId="0" xfId="0" applyAlignment="1" applyBorder="1" applyFill="1" applyFont="1">
      <alignment horizontal="center"/>
    </xf>
    <xf borderId="0" fillId="0" fontId="3" numFmtId="0" xfId="0" applyAlignment="1" applyFont="1">
      <alignment horizontal="center"/>
    </xf>
    <xf borderId="2" fillId="0" fontId="4" numFmtId="0" xfId="0" applyBorder="1" applyFont="1"/>
    <xf borderId="3" fillId="2" fontId="0" numFmtId="0" xfId="0" applyAlignment="1" applyBorder="1" applyFont="1">
      <alignment horizontal="center"/>
    </xf>
    <xf borderId="0" fillId="0" fontId="0" numFmtId="0" xfId="0" applyAlignment="1" applyFont="1">
      <alignment horizontal="center" shrinkToFit="0" vertical="center" wrapText="1"/>
    </xf>
    <xf borderId="2" fillId="0" fontId="0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0" fillId="0" fontId="0" numFmtId="0" xfId="0" applyFont="1"/>
    <xf borderId="2" fillId="0" fontId="5" numFmtId="0" xfId="0" applyAlignment="1" applyBorder="1" applyFont="1">
      <alignment horizontal="center"/>
    </xf>
    <xf borderId="2" fillId="0" fontId="1" numFmtId="0" xfId="0" applyAlignment="1" applyBorder="1" applyFont="1">
      <alignment horizontal="center"/>
    </xf>
    <xf borderId="0" fillId="0" fontId="6" numFmtId="0" xfId="0" applyAlignment="1" applyFont="1">
      <alignment horizontal="center" shrinkToFit="0" vertical="center" wrapText="1"/>
    </xf>
    <xf borderId="4" fillId="0" fontId="1" numFmtId="0" xfId="0" applyAlignment="1" applyBorder="1" applyFont="1">
      <alignment vertical="center"/>
    </xf>
    <xf borderId="0" fillId="0" fontId="1" numFmtId="0" xfId="0" applyAlignment="1" applyFont="1">
      <alignment horizontal="center" shrinkToFit="0" vertical="center" wrapText="1"/>
    </xf>
    <xf borderId="2" fillId="0" fontId="7" numFmtId="0" xfId="0" applyBorder="1" applyFont="1"/>
    <xf borderId="5" fillId="0" fontId="1" numFmtId="0" xfId="0" applyAlignment="1" applyBorder="1" applyFont="1">
      <alignment vertical="center"/>
    </xf>
    <xf borderId="2" fillId="0" fontId="0" numFmtId="0" xfId="0" applyBorder="1" applyFont="1"/>
    <xf borderId="2" fillId="0" fontId="1" numFmtId="0" xfId="0" applyAlignment="1" applyBorder="1" applyFont="1">
      <alignment horizontal="center" shrinkToFit="0" vertical="center" wrapText="1"/>
    </xf>
    <xf borderId="6" fillId="0" fontId="1" numFmtId="0" xfId="0" applyAlignment="1" applyBorder="1" applyFont="1">
      <alignment vertical="center"/>
    </xf>
    <xf borderId="7" fillId="3" fontId="0" numFmtId="0" xfId="0" applyAlignment="1" applyBorder="1" applyFill="1" applyFont="1">
      <alignment horizontal="center" shrinkToFit="0" vertical="center" wrapText="1"/>
    </xf>
    <xf borderId="8" fillId="0" fontId="1" numFmtId="0" xfId="0" applyAlignment="1" applyBorder="1" applyFont="1">
      <alignment horizontal="center" shrinkToFit="0" vertical="center" wrapText="1"/>
    </xf>
    <xf borderId="8" fillId="0" fontId="0" numFmtId="0" xfId="0" applyAlignment="1" applyBorder="1" applyFont="1">
      <alignment horizontal="center" shrinkToFit="0" vertical="center" wrapText="1"/>
    </xf>
    <xf borderId="9" fillId="0" fontId="0" numFmtId="0" xfId="0" applyAlignment="1" applyBorder="1" applyFont="1">
      <alignment horizontal="center" shrinkToFit="0" vertical="center" wrapText="1"/>
    </xf>
    <xf borderId="10" fillId="3" fontId="0" numFmtId="0" xfId="0" applyAlignment="1" applyBorder="1" applyFont="1">
      <alignment horizontal="center" shrinkToFit="0" vertical="center" wrapText="1"/>
    </xf>
    <xf borderId="11" fillId="2" fontId="0" numFmtId="0" xfId="0" applyAlignment="1" applyBorder="1" applyFont="1">
      <alignment horizontal="center"/>
    </xf>
    <xf borderId="12" fillId="0" fontId="7" numFmtId="0" xfId="0" applyBorder="1" applyFont="1"/>
    <xf borderId="13" fillId="0" fontId="0" numFmtId="0" xfId="0" applyAlignment="1" applyBorder="1" applyFont="1">
      <alignment horizontal="center" shrinkToFit="0" vertical="center" wrapText="1"/>
    </xf>
    <xf borderId="7" fillId="2" fontId="8" numFmtId="0" xfId="0" applyBorder="1" applyFont="1"/>
    <xf borderId="0" fillId="0" fontId="1" numFmtId="0" xfId="0" applyAlignment="1" applyFont="1">
      <alignment readingOrder="0"/>
    </xf>
    <xf borderId="0" fillId="0" fontId="9" numFmtId="0" xfId="0" applyFont="1"/>
    <xf borderId="7" fillId="3" fontId="1" numFmtId="0" xfId="0" applyBorder="1" applyFont="1"/>
    <xf borderId="7" fillId="3" fontId="0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40" Type="http://schemas.openxmlformats.org/officeDocument/2006/relationships/worksheet" Target="worksheets/sheet38.xml"/><Relationship Id="rId20" Type="http://schemas.openxmlformats.org/officeDocument/2006/relationships/worksheet" Target="worksheets/sheet18.xml"/><Relationship Id="rId22" Type="http://schemas.openxmlformats.org/officeDocument/2006/relationships/worksheet" Target="worksheets/sheet20.xml"/><Relationship Id="rId21" Type="http://schemas.openxmlformats.org/officeDocument/2006/relationships/worksheet" Target="worksheets/sheet19.xml"/><Relationship Id="rId24" Type="http://schemas.openxmlformats.org/officeDocument/2006/relationships/worksheet" Target="worksheets/sheet22.xml"/><Relationship Id="rId23" Type="http://schemas.openxmlformats.org/officeDocument/2006/relationships/worksheet" Target="worksheets/sheet21.xml"/><Relationship Id="rId1" Type="http://schemas.openxmlformats.org/officeDocument/2006/relationships/styles" Target="styles.xml"/><Relationship Id="rId2" Type="http://schemas.openxmlformats.org/officeDocument/2006/relationships/sharedStrings" Target="sharedString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26" Type="http://schemas.openxmlformats.org/officeDocument/2006/relationships/worksheet" Target="worksheets/sheet24.xml"/><Relationship Id="rId25" Type="http://schemas.openxmlformats.org/officeDocument/2006/relationships/worksheet" Target="worksheets/sheet23.xml"/><Relationship Id="rId28" Type="http://schemas.openxmlformats.org/officeDocument/2006/relationships/worksheet" Target="worksheets/sheet26.xml"/><Relationship Id="rId27" Type="http://schemas.openxmlformats.org/officeDocument/2006/relationships/worksheet" Target="worksheets/sheet25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29" Type="http://schemas.openxmlformats.org/officeDocument/2006/relationships/worksheet" Target="worksheets/sheet27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31" Type="http://schemas.openxmlformats.org/officeDocument/2006/relationships/worksheet" Target="worksheets/sheet29.xml"/><Relationship Id="rId30" Type="http://schemas.openxmlformats.org/officeDocument/2006/relationships/worksheet" Target="worksheets/sheet28.xml"/><Relationship Id="rId11" Type="http://schemas.openxmlformats.org/officeDocument/2006/relationships/worksheet" Target="worksheets/sheet9.xml"/><Relationship Id="rId33" Type="http://schemas.openxmlformats.org/officeDocument/2006/relationships/worksheet" Target="worksheets/sheet31.xml"/><Relationship Id="rId10" Type="http://schemas.openxmlformats.org/officeDocument/2006/relationships/worksheet" Target="worksheets/sheet8.xml"/><Relationship Id="rId32" Type="http://schemas.openxmlformats.org/officeDocument/2006/relationships/worksheet" Target="worksheets/sheet30.xml"/><Relationship Id="rId13" Type="http://schemas.openxmlformats.org/officeDocument/2006/relationships/worksheet" Target="worksheets/sheet11.xml"/><Relationship Id="rId35" Type="http://schemas.openxmlformats.org/officeDocument/2006/relationships/worksheet" Target="worksheets/sheet33.xml"/><Relationship Id="rId12" Type="http://schemas.openxmlformats.org/officeDocument/2006/relationships/worksheet" Target="worksheets/sheet10.xml"/><Relationship Id="rId34" Type="http://schemas.openxmlformats.org/officeDocument/2006/relationships/worksheet" Target="worksheets/sheet32.xml"/><Relationship Id="rId15" Type="http://schemas.openxmlformats.org/officeDocument/2006/relationships/worksheet" Target="worksheets/sheet13.xml"/><Relationship Id="rId37" Type="http://schemas.openxmlformats.org/officeDocument/2006/relationships/worksheet" Target="worksheets/sheet35.xml"/><Relationship Id="rId14" Type="http://schemas.openxmlformats.org/officeDocument/2006/relationships/worksheet" Target="worksheets/sheet12.xml"/><Relationship Id="rId36" Type="http://schemas.openxmlformats.org/officeDocument/2006/relationships/worksheet" Target="worksheets/sheet34.xml"/><Relationship Id="rId17" Type="http://schemas.openxmlformats.org/officeDocument/2006/relationships/worksheet" Target="worksheets/sheet15.xml"/><Relationship Id="rId39" Type="http://schemas.openxmlformats.org/officeDocument/2006/relationships/worksheet" Target="worksheets/sheet37.xml"/><Relationship Id="rId16" Type="http://schemas.openxmlformats.org/officeDocument/2006/relationships/worksheet" Target="worksheets/sheet14.xml"/><Relationship Id="rId38" Type="http://schemas.openxmlformats.org/officeDocument/2006/relationships/worksheet" Target="worksheets/sheet36.xml"/><Relationship Id="rId19" Type="http://schemas.openxmlformats.org/officeDocument/2006/relationships/worksheet" Target="worksheets/sheet17.xml"/><Relationship Id="rId18" Type="http://schemas.openxmlformats.org/officeDocument/2006/relationships/worksheet" Target="worksheets/sheet16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3.86"/>
    <col customWidth="1" min="3" max="3" width="12.14"/>
    <col customWidth="1" min="4" max="4" width="12.29"/>
    <col customWidth="1" min="5" max="5" width="12.43"/>
    <col customWidth="1" min="6" max="6" width="10.86"/>
    <col customWidth="1" min="7" max="7" width="8.71"/>
    <col customWidth="1" min="8" max="8" width="12.0"/>
    <col customWidth="1" min="9" max="9" width="12.14"/>
    <col customWidth="1" min="10" max="10" width="11.71"/>
    <col customWidth="1" min="11" max="26" width="8.71"/>
  </cols>
  <sheetData>
    <row r="1">
      <c r="A1" s="2" t="s">
        <v>1</v>
      </c>
      <c r="G1" s="4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7"/>
      <c r="H2" s="1" t="s">
        <v>13</v>
      </c>
      <c r="I2" s="1" t="s">
        <v>15</v>
      </c>
      <c r="J2" s="1" t="s">
        <v>16</v>
      </c>
      <c r="M2" s="1"/>
    </row>
    <row r="3">
      <c r="A3" s="2"/>
      <c r="G3" s="7"/>
      <c r="H3" s="2"/>
    </row>
    <row r="4">
      <c r="A4" s="2" t="s">
        <v>2</v>
      </c>
      <c r="B4" s="15" t="s">
        <v>29</v>
      </c>
      <c r="C4" s="15" t="s">
        <v>29</v>
      </c>
      <c r="D4" s="15" t="s">
        <v>29</v>
      </c>
      <c r="E4" s="15" t="s">
        <v>29</v>
      </c>
      <c r="F4" s="18" t="s">
        <v>29</v>
      </c>
      <c r="G4" s="1"/>
      <c r="H4" s="21" t="s">
        <v>29</v>
      </c>
      <c r="I4" s="15" t="s">
        <v>29</v>
      </c>
      <c r="J4" s="15" t="s">
        <v>29</v>
      </c>
    </row>
    <row r="5">
      <c r="B5" s="11" t="str">
        <f t="shared" ref="B5:F5" si="1">VLOOKUP(B4,$A$26:$B$59,2,FALSE)</f>
        <v>-</v>
      </c>
      <c r="C5" s="11" t="str">
        <f t="shared" si="1"/>
        <v>-</v>
      </c>
      <c r="D5" s="11" t="str">
        <f t="shared" si="1"/>
        <v>-</v>
      </c>
      <c r="E5" s="11" t="str">
        <f t="shared" si="1"/>
        <v>-</v>
      </c>
      <c r="F5" s="11" t="str">
        <f t="shared" si="1"/>
        <v>-</v>
      </c>
      <c r="G5" s="7"/>
      <c r="H5" t="str">
        <f t="shared" ref="H5:J5" si="2">VLOOKUP(H4,$A$26:$B$59,2,FALSE)</f>
        <v>-</v>
      </c>
      <c r="I5" t="str">
        <f t="shared" si="2"/>
        <v>-</v>
      </c>
      <c r="J5" t="str">
        <f t="shared" si="2"/>
        <v>-</v>
      </c>
    </row>
    <row r="6">
      <c r="A6" s="2"/>
      <c r="G6" s="7"/>
      <c r="H6" s="2"/>
    </row>
    <row r="7">
      <c r="G7" s="7"/>
    </row>
    <row r="8">
      <c r="A8" s="2" t="s">
        <v>3</v>
      </c>
      <c r="B8" s="15" t="s">
        <v>29</v>
      </c>
      <c r="C8" s="15" t="s">
        <v>29</v>
      </c>
      <c r="D8" s="15" t="s">
        <v>29</v>
      </c>
      <c r="E8" s="15" t="s">
        <v>29</v>
      </c>
      <c r="F8" s="18" t="s">
        <v>29</v>
      </c>
      <c r="G8" s="1"/>
      <c r="H8" s="1" t="s">
        <v>29</v>
      </c>
      <c r="I8" s="1" t="s">
        <v>29</v>
      </c>
      <c r="J8" s="1" t="s">
        <v>29</v>
      </c>
    </row>
    <row r="9">
      <c r="B9" t="str">
        <f t="shared" ref="B9:F9" si="3">VLOOKUP(B8,$A$26:$B$59,2,FALSE)</f>
        <v>-</v>
      </c>
      <c r="C9" t="str">
        <f t="shared" si="3"/>
        <v>-</v>
      </c>
      <c r="D9" t="str">
        <f t="shared" si="3"/>
        <v>-</v>
      </c>
      <c r="E9" t="str">
        <f t="shared" si="3"/>
        <v>-</v>
      </c>
      <c r="F9" t="str">
        <f t="shared" si="3"/>
        <v>-</v>
      </c>
      <c r="G9" s="7"/>
      <c r="H9" t="str">
        <f t="shared" ref="H9:J9" si="4">VLOOKUP(H8,$A$26:$B$59,2,FALSE)</f>
        <v>-</v>
      </c>
      <c r="I9" t="str">
        <f t="shared" si="4"/>
        <v>-</v>
      </c>
      <c r="J9" t="str">
        <f t="shared" si="4"/>
        <v>-</v>
      </c>
    </row>
    <row r="10">
      <c r="A10" s="2"/>
      <c r="G10" s="7"/>
      <c r="H10" s="2"/>
    </row>
    <row r="11">
      <c r="G11" s="7"/>
    </row>
    <row r="12">
      <c r="A12" s="2" t="s">
        <v>6</v>
      </c>
      <c r="B12" s="15" t="s">
        <v>29</v>
      </c>
      <c r="C12" s="15" t="s">
        <v>29</v>
      </c>
      <c r="D12" s="15" t="s">
        <v>29</v>
      </c>
      <c r="E12" s="15" t="s">
        <v>29</v>
      </c>
      <c r="F12" s="18" t="s">
        <v>29</v>
      </c>
      <c r="G12" s="1"/>
      <c r="H12" s="1" t="s">
        <v>29</v>
      </c>
      <c r="I12" s="1" t="s">
        <v>29</v>
      </c>
      <c r="J12" s="1" t="s">
        <v>29</v>
      </c>
    </row>
    <row r="13">
      <c r="B13" t="str">
        <f t="shared" ref="B13:F13" si="5">VLOOKUP(B12,$A$26:$B$59,2,FALSE)</f>
        <v>-</v>
      </c>
      <c r="C13" t="str">
        <f t="shared" si="5"/>
        <v>-</v>
      </c>
      <c r="D13" t="str">
        <f t="shared" si="5"/>
        <v>-</v>
      </c>
      <c r="E13" t="str">
        <f t="shared" si="5"/>
        <v>-</v>
      </c>
      <c r="F13" t="str">
        <f t="shared" si="5"/>
        <v>-</v>
      </c>
      <c r="G13" s="7"/>
      <c r="H13" t="str">
        <f t="shared" ref="H13:J13" si="6">VLOOKUP(H12,$A$26:$B$59,2,FALSE)</f>
        <v>-</v>
      </c>
      <c r="I13" t="str">
        <f t="shared" si="6"/>
        <v>-</v>
      </c>
      <c r="J13" t="str">
        <f t="shared" si="6"/>
        <v>-</v>
      </c>
    </row>
    <row r="14">
      <c r="A14" s="2"/>
      <c r="G14" s="7"/>
      <c r="H14" s="2"/>
    </row>
    <row r="15">
      <c r="G15" s="7"/>
    </row>
    <row r="16">
      <c r="A16" s="2" t="s">
        <v>88</v>
      </c>
      <c r="B16" s="15" t="s">
        <v>29</v>
      </c>
      <c r="C16" s="15" t="s">
        <v>29</v>
      </c>
      <c r="D16" s="15" t="s">
        <v>29</v>
      </c>
      <c r="E16" s="15" t="s">
        <v>29</v>
      </c>
      <c r="F16" s="18" t="s">
        <v>29</v>
      </c>
      <c r="G16" s="1"/>
      <c r="H16" s="1" t="s">
        <v>29</v>
      </c>
      <c r="I16" s="1" t="s">
        <v>29</v>
      </c>
      <c r="J16" s="1" t="s">
        <v>29</v>
      </c>
    </row>
    <row r="17">
      <c r="B17" t="str">
        <f t="shared" ref="B17:F17" si="7">VLOOKUP(B16,$A$26:$B$59,2,FALSE)</f>
        <v>-</v>
      </c>
      <c r="C17" t="str">
        <f t="shared" si="7"/>
        <v>-</v>
      </c>
      <c r="D17" t="str">
        <f t="shared" si="7"/>
        <v>-</v>
      </c>
      <c r="E17" t="str">
        <f t="shared" si="7"/>
        <v>-</v>
      </c>
      <c r="F17" t="str">
        <f t="shared" si="7"/>
        <v>-</v>
      </c>
      <c r="G17" s="7"/>
      <c r="H17" t="str">
        <f t="shared" ref="H17:J17" si="8">VLOOKUP(H16,$A$26:$B$59,2,FALSE)</f>
        <v>-</v>
      </c>
      <c r="I17" t="str">
        <f t="shared" si="8"/>
        <v>-</v>
      </c>
      <c r="J17" t="str">
        <f t="shared" si="8"/>
        <v>-</v>
      </c>
    </row>
    <row r="18">
      <c r="A18" s="2"/>
      <c r="G18" s="7"/>
      <c r="H18" s="2"/>
    </row>
    <row r="19">
      <c r="G19" s="7"/>
    </row>
    <row r="20">
      <c r="A20" s="2" t="s">
        <v>11</v>
      </c>
      <c r="B20" s="15" t="s">
        <v>29</v>
      </c>
      <c r="C20" s="15" t="s">
        <v>29</v>
      </c>
      <c r="D20" s="15" t="s">
        <v>29</v>
      </c>
      <c r="E20" s="15" t="s">
        <v>29</v>
      </c>
      <c r="F20" s="18" t="s">
        <v>29</v>
      </c>
      <c r="G20" s="1"/>
      <c r="H20" s="1" t="s">
        <v>29</v>
      </c>
      <c r="I20" s="1" t="s">
        <v>29</v>
      </c>
      <c r="J20" s="1" t="s">
        <v>29</v>
      </c>
    </row>
    <row r="21" ht="15.75" customHeight="1">
      <c r="B21" t="str">
        <f t="shared" ref="B21:F21" si="9">VLOOKUP(B20,$A$26:$B$59,2,FALSE)</f>
        <v>-</v>
      </c>
      <c r="C21" t="str">
        <f t="shared" si="9"/>
        <v>-</v>
      </c>
      <c r="D21" t="str">
        <f t="shared" si="9"/>
        <v>-</v>
      </c>
      <c r="E21" t="str">
        <f t="shared" si="9"/>
        <v>-</v>
      </c>
      <c r="F21" t="str">
        <f t="shared" si="9"/>
        <v>-</v>
      </c>
      <c r="G21" s="27"/>
      <c r="H21" t="str">
        <f t="shared" ref="H21:J21" si="10">VLOOKUP(H20,$A$26:$B$59,2,FALSE)</f>
        <v>-</v>
      </c>
      <c r="I21" t="str">
        <f t="shared" si="10"/>
        <v>-</v>
      </c>
      <c r="J21" t="str">
        <f t="shared" si="10"/>
        <v>-</v>
      </c>
    </row>
    <row r="22" ht="15.75" customHeight="1"/>
    <row r="23" ht="15.75" customHeight="1"/>
    <row r="24" ht="15.75" customHeight="1"/>
    <row r="25" ht="15.75" customHeight="1">
      <c r="A25" s="1" t="s">
        <v>136</v>
      </c>
      <c r="B25" s="1" t="s">
        <v>0</v>
      </c>
    </row>
    <row r="26" ht="15.75" customHeight="1">
      <c r="A26" t="s">
        <v>139</v>
      </c>
      <c r="B26" t="s">
        <v>146</v>
      </c>
    </row>
    <row r="27" ht="15.75" customHeight="1">
      <c r="A27" t="s">
        <v>148</v>
      </c>
      <c r="B27" t="s">
        <v>98</v>
      </c>
    </row>
    <row r="28" ht="15.75" customHeight="1">
      <c r="A28" t="s">
        <v>150</v>
      </c>
      <c r="B28" t="s">
        <v>72</v>
      </c>
    </row>
    <row r="29" ht="15.75" customHeight="1">
      <c r="A29" t="s">
        <v>154</v>
      </c>
      <c r="B29" t="s">
        <v>151</v>
      </c>
    </row>
    <row r="30" ht="15.75" customHeight="1">
      <c r="A30" t="s">
        <v>159</v>
      </c>
      <c r="B30" t="s">
        <v>137</v>
      </c>
    </row>
    <row r="31" ht="15.75" customHeight="1">
      <c r="A31" t="s">
        <v>162</v>
      </c>
      <c r="B31" t="s">
        <v>164</v>
      </c>
    </row>
    <row r="32" ht="15.75" customHeight="1">
      <c r="A32" t="s">
        <v>165</v>
      </c>
      <c r="B32" t="s">
        <v>168</v>
      </c>
    </row>
    <row r="33" ht="15.75" customHeight="1">
      <c r="A33" t="s">
        <v>170</v>
      </c>
      <c r="B33" t="s">
        <v>146</v>
      </c>
    </row>
    <row r="34" ht="15.75" customHeight="1">
      <c r="A34" t="s">
        <v>174</v>
      </c>
      <c r="B34" t="s">
        <v>66</v>
      </c>
    </row>
    <row r="35" ht="15.75" customHeight="1">
      <c r="A35" t="s">
        <v>179</v>
      </c>
      <c r="B35" t="s">
        <v>17</v>
      </c>
    </row>
    <row r="36" ht="15.75" customHeight="1">
      <c r="A36" t="s">
        <v>181</v>
      </c>
      <c r="B36" t="s">
        <v>66</v>
      </c>
    </row>
    <row r="37" ht="15.75" customHeight="1">
      <c r="A37" t="s">
        <v>184</v>
      </c>
      <c r="B37" t="s">
        <v>146</v>
      </c>
    </row>
    <row r="38" ht="15.75" customHeight="1">
      <c r="A38" t="s">
        <v>185</v>
      </c>
      <c r="B38" t="s">
        <v>25</v>
      </c>
    </row>
    <row r="39" ht="15.75" customHeight="1">
      <c r="A39" t="s">
        <v>188</v>
      </c>
      <c r="B39" t="s">
        <v>137</v>
      </c>
    </row>
    <row r="40" ht="15.75" customHeight="1">
      <c r="A40" t="s">
        <v>192</v>
      </c>
      <c r="B40" t="s">
        <v>168</v>
      </c>
    </row>
    <row r="41" ht="15.75" customHeight="1">
      <c r="A41" t="s">
        <v>194</v>
      </c>
      <c r="B41" t="s">
        <v>196</v>
      </c>
    </row>
    <row r="42" ht="15.75" customHeight="1">
      <c r="A42" t="s">
        <v>199</v>
      </c>
      <c r="B42" t="s">
        <v>201</v>
      </c>
    </row>
    <row r="43" ht="15.75" customHeight="1">
      <c r="A43" t="s">
        <v>203</v>
      </c>
      <c r="B43" t="s">
        <v>25</v>
      </c>
    </row>
    <row r="44" ht="15.75" customHeight="1">
      <c r="A44" t="s">
        <v>209</v>
      </c>
      <c r="B44" t="s">
        <v>146</v>
      </c>
    </row>
    <row r="45" ht="15.75" customHeight="1">
      <c r="A45" t="s">
        <v>212</v>
      </c>
      <c r="B45" t="s">
        <v>110</v>
      </c>
    </row>
    <row r="46" ht="15.75" customHeight="1">
      <c r="A46" t="s">
        <v>214</v>
      </c>
      <c r="B46" t="s">
        <v>216</v>
      </c>
    </row>
    <row r="47" ht="15.75" customHeight="1">
      <c r="A47" t="s">
        <v>217</v>
      </c>
      <c r="B47" t="s">
        <v>219</v>
      </c>
    </row>
    <row r="48" ht="15.75" customHeight="1">
      <c r="A48" t="s">
        <v>221</v>
      </c>
      <c r="B48" t="s">
        <v>127</v>
      </c>
    </row>
    <row r="49" ht="15.75" customHeight="1">
      <c r="A49" t="s">
        <v>225</v>
      </c>
      <c r="B49" t="s">
        <v>196</v>
      </c>
    </row>
    <row r="50" ht="15.75" customHeight="1">
      <c r="A50" t="s">
        <v>226</v>
      </c>
      <c r="B50" t="s">
        <v>219</v>
      </c>
    </row>
    <row r="51" ht="15.75" customHeight="1">
      <c r="A51" t="s">
        <v>230</v>
      </c>
      <c r="B51" t="s">
        <v>26</v>
      </c>
    </row>
    <row r="52" ht="15.75" customHeight="1">
      <c r="A52" t="s">
        <v>231</v>
      </c>
      <c r="B52" t="s">
        <v>233</v>
      </c>
    </row>
    <row r="53" ht="15.75" customHeight="1">
      <c r="A53" t="s">
        <v>235</v>
      </c>
      <c r="B53" t="s">
        <v>201</v>
      </c>
    </row>
    <row r="54" ht="15.75" customHeight="1">
      <c r="A54" t="s">
        <v>239</v>
      </c>
      <c r="B54" t="s">
        <v>137</v>
      </c>
    </row>
    <row r="55" ht="15.75" customHeight="1">
      <c r="A55" t="s">
        <v>242</v>
      </c>
      <c r="B55" t="s">
        <v>25</v>
      </c>
    </row>
    <row r="56" ht="15.75" customHeight="1">
      <c r="A56" t="s">
        <v>245</v>
      </c>
      <c r="B56" t="s">
        <v>247</v>
      </c>
    </row>
    <row r="57" ht="15.75" customHeight="1">
      <c r="A57" t="s">
        <v>249</v>
      </c>
      <c r="B57" t="s">
        <v>12</v>
      </c>
    </row>
    <row r="58" ht="15.75" customHeight="1">
      <c r="A58" t="s">
        <v>251</v>
      </c>
      <c r="B58" t="s">
        <v>252</v>
      </c>
    </row>
    <row r="59" ht="15.75" customHeight="1">
      <c r="A59" t="s">
        <v>29</v>
      </c>
      <c r="B59" t="s">
        <v>253</v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2:A13"/>
    <mergeCell ref="A8:A9"/>
    <mergeCell ref="A6:F7"/>
    <mergeCell ref="A1:D1"/>
    <mergeCell ref="A3:F3"/>
    <mergeCell ref="H3:J3"/>
    <mergeCell ref="H6:J7"/>
    <mergeCell ref="A18:F19"/>
    <mergeCell ref="H18:J19"/>
    <mergeCell ref="A4:A5"/>
    <mergeCell ref="A20:A21"/>
    <mergeCell ref="A14:F15"/>
    <mergeCell ref="H14:J15"/>
    <mergeCell ref="A10:F11"/>
    <mergeCell ref="H10:J11"/>
  </mergeCells>
  <dataValidations>
    <dataValidation type="list" allowBlank="1" showErrorMessage="1" sqref="B4:J4 B8:J8 B12:J12 B16:J16 B20:J20">
      <formula1>Classes</formula1>
    </dataValidation>
    <dataValidation type="list" allowBlank="1" showErrorMessage="1" sqref="H6">
      <formula1>INDIRECT($H$4)</formula1>
    </dataValidation>
    <dataValidation type="list" allowBlank="1" showErrorMessage="1" sqref="B26:B58">
      <formula1>Library</formula1>
    </dataValidation>
  </dataValidations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1.43"/>
    <col customWidth="1" min="2" max="2" width="22.57"/>
    <col customWidth="1" min="3" max="3" width="19.14"/>
    <col customWidth="1" min="4" max="4" width="13.71"/>
    <col customWidth="1" min="5" max="5" width="22.57"/>
    <col customWidth="1" min="6" max="6" width="24.0"/>
    <col customWidth="1" min="7" max="8" width="8.71"/>
    <col customWidth="1" min="9" max="9" width="10.14"/>
    <col customWidth="1" min="10" max="40" width="8.71"/>
    <col customWidth="1" min="41" max="41" width="13.0"/>
    <col customWidth="1" min="42" max="43" width="8.71"/>
  </cols>
  <sheetData>
    <row r="1">
      <c r="A1" s="1" t="s">
        <v>0</v>
      </c>
      <c r="B1" s="3" t="s">
        <v>2</v>
      </c>
      <c r="J1" s="5" t="s">
        <v>3</v>
      </c>
      <c r="Q1" s="6"/>
      <c r="R1" s="5" t="s">
        <v>6</v>
      </c>
      <c r="Y1" s="6"/>
      <c r="Z1" s="5" t="s">
        <v>10</v>
      </c>
      <c r="AH1" s="5" t="s">
        <v>11</v>
      </c>
      <c r="AO1" s="6"/>
    </row>
    <row r="2">
      <c r="A2" s="1"/>
      <c r="B2" s="10" t="s">
        <v>14</v>
      </c>
      <c r="C2" s="10" t="s">
        <v>18</v>
      </c>
      <c r="D2" s="10" t="s">
        <v>19</v>
      </c>
      <c r="E2" s="10" t="s">
        <v>20</v>
      </c>
      <c r="F2" s="10" t="s">
        <v>21</v>
      </c>
      <c r="G2" s="10" t="s">
        <v>22</v>
      </c>
      <c r="H2" s="10" t="s">
        <v>23</v>
      </c>
      <c r="I2" s="12" t="s">
        <v>24</v>
      </c>
      <c r="J2" s="10" t="s">
        <v>14</v>
      </c>
      <c r="K2" s="10" t="s">
        <v>18</v>
      </c>
      <c r="L2" s="10" t="s">
        <v>19</v>
      </c>
      <c r="M2" s="10" t="s">
        <v>20</v>
      </c>
      <c r="N2" s="10" t="s">
        <v>21</v>
      </c>
      <c r="O2" s="10" t="s">
        <v>22</v>
      </c>
      <c r="P2" s="10" t="s">
        <v>23</v>
      </c>
      <c r="Q2" s="13" t="s">
        <v>24</v>
      </c>
      <c r="R2" s="10" t="s">
        <v>14</v>
      </c>
      <c r="S2" s="10" t="s">
        <v>18</v>
      </c>
      <c r="T2" s="10" t="s">
        <v>19</v>
      </c>
      <c r="U2" s="10" t="s">
        <v>20</v>
      </c>
      <c r="V2" s="10" t="s">
        <v>21</v>
      </c>
      <c r="W2" s="10" t="s">
        <v>22</v>
      </c>
      <c r="X2" s="10" t="s">
        <v>23</v>
      </c>
      <c r="Y2" s="13" t="s">
        <v>24</v>
      </c>
      <c r="Z2" s="10" t="s">
        <v>14</v>
      </c>
      <c r="AA2" s="10" t="s">
        <v>18</v>
      </c>
      <c r="AB2" s="10" t="s">
        <v>19</v>
      </c>
      <c r="AC2" s="10" t="s">
        <v>20</v>
      </c>
      <c r="AD2" s="10" t="s">
        <v>21</v>
      </c>
      <c r="AE2" s="10" t="s">
        <v>22</v>
      </c>
      <c r="AF2" s="10" t="s">
        <v>23</v>
      </c>
      <c r="AG2" s="13" t="s">
        <v>24</v>
      </c>
      <c r="AH2" s="10" t="s">
        <v>14</v>
      </c>
      <c r="AI2" s="10" t="s">
        <v>18</v>
      </c>
      <c r="AJ2" s="10" t="s">
        <v>19</v>
      </c>
      <c r="AK2" s="10" t="s">
        <v>20</v>
      </c>
      <c r="AL2" s="10" t="s">
        <v>21</v>
      </c>
      <c r="AM2" s="10" t="s">
        <v>22</v>
      </c>
      <c r="AN2" s="10" t="s">
        <v>23</v>
      </c>
      <c r="AO2" s="13" t="s">
        <v>24</v>
      </c>
    </row>
    <row r="3">
      <c r="A3" t="s">
        <v>12</v>
      </c>
      <c r="B3" t="s">
        <v>30</v>
      </c>
      <c r="D3" s="11"/>
      <c r="H3" t="s">
        <v>31</v>
      </c>
      <c r="I3" s="17"/>
      <c r="J3" t="s">
        <v>32</v>
      </c>
      <c r="P3" t="s">
        <v>31</v>
      </c>
      <c r="Q3" s="19"/>
      <c r="R3" t="s">
        <v>30</v>
      </c>
      <c r="T3" t="s">
        <v>31</v>
      </c>
      <c r="U3" t="s">
        <v>31</v>
      </c>
      <c r="Y3" s="19"/>
      <c r="Z3" t="s">
        <v>32</v>
      </c>
      <c r="AE3" t="s">
        <v>31</v>
      </c>
      <c r="AG3" s="19"/>
      <c r="AH3" t="s">
        <v>30</v>
      </c>
      <c r="AI3" t="s">
        <v>31</v>
      </c>
      <c r="AO3" s="19"/>
      <c r="AP3">
        <f t="shared" ref="AP3:AP53" si="1">COUNTA($B3:$AO3)</f>
        <v>11</v>
      </c>
      <c r="AQ3" t="s">
        <v>42</v>
      </c>
    </row>
    <row r="4">
      <c r="A4" t="s">
        <v>17</v>
      </c>
      <c r="B4" t="s">
        <v>45</v>
      </c>
      <c r="I4" s="17"/>
      <c r="J4" t="s">
        <v>46</v>
      </c>
      <c r="Q4" s="19"/>
      <c r="R4" t="s">
        <v>45</v>
      </c>
      <c r="Y4" s="19"/>
      <c r="Z4" t="s">
        <v>46</v>
      </c>
      <c r="AG4" s="19"/>
      <c r="AH4" t="s">
        <v>45</v>
      </c>
      <c r="AO4" s="19"/>
      <c r="AP4">
        <f t="shared" si="1"/>
        <v>5</v>
      </c>
      <c r="AQ4" t="s">
        <v>48</v>
      </c>
    </row>
    <row r="5">
      <c r="A5" t="s">
        <v>25</v>
      </c>
      <c r="B5" t="s">
        <v>49</v>
      </c>
      <c r="I5" s="17"/>
      <c r="J5" t="s">
        <v>51</v>
      </c>
      <c r="Q5" s="19"/>
      <c r="R5" t="s">
        <v>49</v>
      </c>
      <c r="Y5" s="19"/>
      <c r="Z5" t="s">
        <v>51</v>
      </c>
      <c r="AC5" t="s">
        <v>52</v>
      </c>
      <c r="AD5" t="s">
        <v>52</v>
      </c>
      <c r="AG5" s="19"/>
      <c r="AH5" t="s">
        <v>49</v>
      </c>
      <c r="AK5" t="s">
        <v>53</v>
      </c>
      <c r="AO5" s="19"/>
      <c r="AP5">
        <f t="shared" si="1"/>
        <v>8</v>
      </c>
      <c r="AQ5" t="s">
        <v>55</v>
      </c>
    </row>
    <row r="6">
      <c r="A6" t="s">
        <v>26</v>
      </c>
      <c r="I6" s="17"/>
      <c r="Q6" s="19"/>
      <c r="Y6" s="19"/>
      <c r="AG6" s="19"/>
      <c r="AO6" s="19"/>
      <c r="AP6">
        <f t="shared" si="1"/>
        <v>0</v>
      </c>
      <c r="AQ6" t="s">
        <v>56</v>
      </c>
    </row>
    <row r="7">
      <c r="A7" t="s">
        <v>27</v>
      </c>
      <c r="I7" s="17"/>
      <c r="P7" t="s">
        <v>57</v>
      </c>
      <c r="Q7" s="19"/>
      <c r="X7" t="s">
        <v>57</v>
      </c>
      <c r="Y7" s="19"/>
      <c r="AD7" t="s">
        <v>57</v>
      </c>
      <c r="AG7" s="19"/>
      <c r="AO7" s="19"/>
      <c r="AP7">
        <f t="shared" si="1"/>
        <v>3</v>
      </c>
      <c r="AQ7" t="s">
        <v>58</v>
      </c>
    </row>
    <row r="8">
      <c r="A8" t="s">
        <v>59</v>
      </c>
      <c r="I8" s="17"/>
      <c r="Q8" s="19"/>
      <c r="Y8" s="19"/>
      <c r="AG8" s="19"/>
      <c r="AO8" s="19"/>
      <c r="AP8">
        <f t="shared" si="1"/>
        <v>0</v>
      </c>
      <c r="AQ8" t="s">
        <v>60</v>
      </c>
    </row>
    <row r="9">
      <c r="A9" t="s">
        <v>61</v>
      </c>
      <c r="B9" t="s">
        <v>62</v>
      </c>
      <c r="I9" s="17"/>
      <c r="M9" t="s">
        <v>63</v>
      </c>
      <c r="Q9" s="19" t="s">
        <v>63</v>
      </c>
      <c r="R9" t="s">
        <v>62</v>
      </c>
      <c r="Y9" s="19"/>
      <c r="Z9" t="s">
        <v>62</v>
      </c>
      <c r="AA9" t="s">
        <v>64</v>
      </c>
      <c r="AG9" s="19"/>
      <c r="AH9" t="s">
        <v>62</v>
      </c>
      <c r="AO9" s="19"/>
      <c r="AP9">
        <f t="shared" si="1"/>
        <v>7</v>
      </c>
      <c r="AQ9" t="s">
        <v>65</v>
      </c>
    </row>
    <row r="10">
      <c r="A10" t="s">
        <v>66</v>
      </c>
      <c r="B10" t="s">
        <v>67</v>
      </c>
      <c r="D10" t="s">
        <v>68</v>
      </c>
      <c r="G10" t="s">
        <v>68</v>
      </c>
      <c r="H10" t="s">
        <v>68</v>
      </c>
      <c r="I10" s="17"/>
      <c r="J10" t="s">
        <v>69</v>
      </c>
      <c r="Q10" s="19"/>
      <c r="R10" t="s">
        <v>67</v>
      </c>
      <c r="U10" t="s">
        <v>70</v>
      </c>
      <c r="Y10" s="19" t="s">
        <v>70</v>
      </c>
      <c r="Z10" t="s">
        <v>69</v>
      </c>
      <c r="AG10" s="19"/>
      <c r="AH10" t="s">
        <v>67</v>
      </c>
      <c r="AO10" s="19"/>
      <c r="AP10">
        <f t="shared" si="1"/>
        <v>10</v>
      </c>
      <c r="AQ10" t="s">
        <v>73</v>
      </c>
    </row>
    <row r="11">
      <c r="A11" t="s">
        <v>71</v>
      </c>
      <c r="B11" t="s">
        <v>74</v>
      </c>
      <c r="I11" s="17"/>
      <c r="J11" t="s">
        <v>75</v>
      </c>
      <c r="Q11" s="19"/>
      <c r="R11" t="s">
        <v>74</v>
      </c>
      <c r="Y11" s="19"/>
      <c r="Z11" t="s">
        <v>75</v>
      </c>
      <c r="AG11" s="19"/>
      <c r="AH11" t="s">
        <v>74</v>
      </c>
      <c r="AO11" s="19"/>
      <c r="AP11">
        <f t="shared" si="1"/>
        <v>5</v>
      </c>
      <c r="AQ11" t="s">
        <v>76</v>
      </c>
    </row>
    <row r="12">
      <c r="A12" t="s">
        <v>72</v>
      </c>
      <c r="B12" t="s">
        <v>77</v>
      </c>
      <c r="I12" s="17"/>
      <c r="J12" t="s">
        <v>78</v>
      </c>
      <c r="M12" t="s">
        <v>79</v>
      </c>
      <c r="N12" t="s">
        <v>79</v>
      </c>
      <c r="Q12" s="19"/>
      <c r="R12" t="s">
        <v>77</v>
      </c>
      <c r="U12" t="s">
        <v>80</v>
      </c>
      <c r="V12" t="s">
        <v>80</v>
      </c>
      <c r="Y12" s="19"/>
      <c r="Z12" t="s">
        <v>78</v>
      </c>
      <c r="AG12" s="19"/>
      <c r="AH12" t="s">
        <v>77</v>
      </c>
      <c r="AO12" s="19"/>
      <c r="AP12">
        <f t="shared" si="1"/>
        <v>9</v>
      </c>
      <c r="AQ12" t="s">
        <v>81</v>
      </c>
    </row>
    <row r="13">
      <c r="A13" t="s">
        <v>82</v>
      </c>
      <c r="C13" t="s">
        <v>83</v>
      </c>
      <c r="D13" t="s">
        <v>84</v>
      </c>
      <c r="F13" t="s">
        <v>85</v>
      </c>
      <c r="H13" t="s">
        <v>86</v>
      </c>
      <c r="I13" s="17" t="s">
        <v>87</v>
      </c>
      <c r="L13" t="s">
        <v>84</v>
      </c>
      <c r="N13" t="s">
        <v>85</v>
      </c>
      <c r="O13" t="s">
        <v>83</v>
      </c>
      <c r="P13" t="s">
        <v>87</v>
      </c>
      <c r="Q13" s="19" t="s">
        <v>89</v>
      </c>
      <c r="S13" t="s">
        <v>83</v>
      </c>
      <c r="T13" t="s">
        <v>86</v>
      </c>
      <c r="U13" t="s">
        <v>89</v>
      </c>
      <c r="W13" t="s">
        <v>84</v>
      </c>
      <c r="X13" t="s">
        <v>90</v>
      </c>
      <c r="Y13" s="19" t="s">
        <v>91</v>
      </c>
      <c r="AA13" t="s">
        <v>89</v>
      </c>
      <c r="AB13" t="s">
        <v>85</v>
      </c>
      <c r="AD13" t="s">
        <v>87</v>
      </c>
      <c r="AE13" t="s">
        <v>92</v>
      </c>
      <c r="AF13" t="s">
        <v>90</v>
      </c>
      <c r="AG13" s="19"/>
      <c r="AI13" t="s">
        <v>85</v>
      </c>
      <c r="AJ13" t="s">
        <v>84</v>
      </c>
      <c r="AK13" t="s">
        <v>91</v>
      </c>
      <c r="AM13" t="s">
        <v>87</v>
      </c>
      <c r="AN13" t="s">
        <v>89</v>
      </c>
      <c r="AO13" s="19" t="s">
        <v>83</v>
      </c>
      <c r="AP13">
        <f t="shared" si="1"/>
        <v>27</v>
      </c>
      <c r="AQ13" t="s">
        <v>96</v>
      </c>
    </row>
    <row r="14">
      <c r="A14" t="s">
        <v>98</v>
      </c>
      <c r="B14" t="s">
        <v>100</v>
      </c>
      <c r="D14" t="s">
        <v>101</v>
      </c>
      <c r="E14" t="s">
        <v>102</v>
      </c>
      <c r="I14" s="17"/>
      <c r="J14" t="s">
        <v>102</v>
      </c>
      <c r="N14" t="s">
        <v>101</v>
      </c>
      <c r="Q14" s="19"/>
      <c r="R14" t="s">
        <v>100</v>
      </c>
      <c r="W14" t="s">
        <v>101</v>
      </c>
      <c r="Y14" s="19"/>
      <c r="Z14" t="s">
        <v>102</v>
      </c>
      <c r="AF14" t="s">
        <v>101</v>
      </c>
      <c r="AG14" s="19" t="s">
        <v>101</v>
      </c>
      <c r="AH14" t="s">
        <v>100</v>
      </c>
      <c r="AJ14" t="s">
        <v>101</v>
      </c>
      <c r="AL14" t="s">
        <v>102</v>
      </c>
      <c r="AO14" s="19"/>
      <c r="AP14">
        <f t="shared" si="1"/>
        <v>13</v>
      </c>
      <c r="AQ14" t="s">
        <v>109</v>
      </c>
    </row>
    <row r="15">
      <c r="A15" t="s">
        <v>110</v>
      </c>
      <c r="B15" t="s">
        <v>111</v>
      </c>
      <c r="I15" s="17"/>
      <c r="J15" t="s">
        <v>112</v>
      </c>
      <c r="Q15" s="19"/>
      <c r="R15" t="s">
        <v>111</v>
      </c>
      <c r="Y15" s="19"/>
      <c r="Z15" t="s">
        <v>112</v>
      </c>
      <c r="AD15" t="s">
        <v>111</v>
      </c>
      <c r="AG15" s="19"/>
      <c r="AH15" t="s">
        <v>111</v>
      </c>
      <c r="AO15" s="19"/>
      <c r="AP15">
        <f t="shared" si="1"/>
        <v>6</v>
      </c>
      <c r="AQ15" t="s">
        <v>114</v>
      </c>
    </row>
    <row r="16">
      <c r="A16" t="s">
        <v>116</v>
      </c>
      <c r="I16" s="17"/>
      <c r="Q16" s="19"/>
      <c r="Y16" s="19"/>
      <c r="AG16" s="19"/>
      <c r="AO16" s="19"/>
      <c r="AP16">
        <f t="shared" si="1"/>
        <v>0</v>
      </c>
      <c r="AQ16" t="s">
        <v>117</v>
      </c>
    </row>
    <row r="17">
      <c r="A17" t="s">
        <v>118</v>
      </c>
      <c r="E17" t="s">
        <v>119</v>
      </c>
      <c r="I17" s="17"/>
      <c r="Q17" s="19" t="s">
        <v>119</v>
      </c>
      <c r="X17" t="s">
        <v>121</v>
      </c>
      <c r="Y17" s="19"/>
      <c r="AD17" t="s">
        <v>121</v>
      </c>
      <c r="AG17" s="19"/>
      <c r="AL17" t="s">
        <v>119</v>
      </c>
      <c r="AO17" s="19"/>
      <c r="AP17">
        <f t="shared" si="1"/>
        <v>5</v>
      </c>
      <c r="AQ17" t="s">
        <v>122</v>
      </c>
    </row>
    <row r="18">
      <c r="A18" t="s">
        <v>123</v>
      </c>
      <c r="B18" t="s">
        <v>124</v>
      </c>
      <c r="G18" t="s">
        <v>125</v>
      </c>
      <c r="I18" s="17"/>
      <c r="J18" t="s">
        <v>125</v>
      </c>
      <c r="Q18" s="19"/>
      <c r="R18" t="s">
        <v>124</v>
      </c>
      <c r="Y18" s="19"/>
      <c r="Z18" t="s">
        <v>125</v>
      </c>
      <c r="AG18" s="19"/>
      <c r="AH18" t="s">
        <v>124</v>
      </c>
      <c r="AJ18" t="s">
        <v>125</v>
      </c>
      <c r="AO18" s="19"/>
      <c r="AP18">
        <f t="shared" si="1"/>
        <v>7</v>
      </c>
      <c r="AQ18" t="s">
        <v>126</v>
      </c>
    </row>
    <row r="19">
      <c r="A19" t="s">
        <v>127</v>
      </c>
      <c r="C19" t="s">
        <v>128</v>
      </c>
      <c r="D19" t="s">
        <v>129</v>
      </c>
      <c r="F19" t="s">
        <v>130</v>
      </c>
      <c r="G19" t="s">
        <v>131</v>
      </c>
      <c r="I19" s="17"/>
      <c r="K19" t="s">
        <v>131</v>
      </c>
      <c r="M19" t="s">
        <v>129</v>
      </c>
      <c r="N19" t="s">
        <v>130</v>
      </c>
      <c r="P19" t="s">
        <v>128</v>
      </c>
      <c r="Q19" s="19" t="s">
        <v>132</v>
      </c>
      <c r="U19" t="s">
        <v>132</v>
      </c>
      <c r="V19" t="s">
        <v>129</v>
      </c>
      <c r="X19" t="s">
        <v>133</v>
      </c>
      <c r="Y19" s="19"/>
      <c r="AA19" t="s">
        <v>132</v>
      </c>
      <c r="AB19" t="s">
        <v>130</v>
      </c>
      <c r="AC19" t="s">
        <v>128</v>
      </c>
      <c r="AE19" t="s">
        <v>134</v>
      </c>
      <c r="AF19" t="s">
        <v>133</v>
      </c>
      <c r="AG19" s="19" t="s">
        <v>131</v>
      </c>
      <c r="AI19" t="s">
        <v>130</v>
      </c>
      <c r="AJ19" t="s">
        <v>129</v>
      </c>
      <c r="AL19" t="s">
        <v>131</v>
      </c>
      <c r="AN19" t="s">
        <v>132</v>
      </c>
      <c r="AO19" s="19" t="s">
        <v>128</v>
      </c>
      <c r="AP19">
        <f t="shared" si="1"/>
        <v>23</v>
      </c>
      <c r="AQ19" t="s">
        <v>135</v>
      </c>
    </row>
    <row r="20">
      <c r="A20" t="s">
        <v>137</v>
      </c>
      <c r="B20" t="s">
        <v>138</v>
      </c>
      <c r="H20" t="s">
        <v>140</v>
      </c>
      <c r="I20" s="17" t="s">
        <v>140</v>
      </c>
      <c r="J20" t="s">
        <v>141</v>
      </c>
      <c r="Q20" s="19"/>
      <c r="R20" t="s">
        <v>138</v>
      </c>
      <c r="Y20" s="19"/>
      <c r="Z20" t="s">
        <v>141</v>
      </c>
      <c r="AG20" s="19"/>
      <c r="AH20" t="s">
        <v>138</v>
      </c>
      <c r="AO20" s="19"/>
      <c r="AP20">
        <f t="shared" si="1"/>
        <v>7</v>
      </c>
      <c r="AQ20" t="s">
        <v>142</v>
      </c>
    </row>
    <row r="21" ht="15.75" customHeight="1">
      <c r="A21" t="s">
        <v>143</v>
      </c>
      <c r="I21" s="17"/>
      <c r="Q21" s="19"/>
      <c r="S21" t="s">
        <v>144</v>
      </c>
      <c r="T21" t="s">
        <v>144</v>
      </c>
      <c r="Y21" s="19"/>
      <c r="AA21" t="s">
        <v>145</v>
      </c>
      <c r="AC21" t="s">
        <v>147</v>
      </c>
      <c r="AD21" t="s">
        <v>147</v>
      </c>
      <c r="AG21" s="19" t="s">
        <v>145</v>
      </c>
      <c r="AJ21" t="s">
        <v>147</v>
      </c>
      <c r="AO21" s="19"/>
      <c r="AP21">
        <f t="shared" si="1"/>
        <v>7</v>
      </c>
      <c r="AQ21" t="s">
        <v>149</v>
      </c>
    </row>
    <row r="22" ht="15.75" customHeight="1">
      <c r="A22" t="s">
        <v>151</v>
      </c>
      <c r="B22" t="s">
        <v>152</v>
      </c>
      <c r="G22" t="s">
        <v>153</v>
      </c>
      <c r="I22" s="17"/>
      <c r="J22" t="s">
        <v>153</v>
      </c>
      <c r="Q22" s="19"/>
      <c r="R22" t="s">
        <v>152</v>
      </c>
      <c r="T22" t="s">
        <v>153</v>
      </c>
      <c r="Y22" s="19"/>
      <c r="Z22" t="s">
        <v>153</v>
      </c>
      <c r="AG22" s="19"/>
      <c r="AH22" t="s">
        <v>152</v>
      </c>
      <c r="AO22" s="19"/>
      <c r="AP22">
        <f t="shared" si="1"/>
        <v>7</v>
      </c>
      <c r="AQ22" t="s">
        <v>155</v>
      </c>
    </row>
    <row r="23" ht="15.75" customHeight="1">
      <c r="A23" t="s">
        <v>156</v>
      </c>
      <c r="B23" t="s">
        <v>157</v>
      </c>
      <c r="G23" t="s">
        <v>158</v>
      </c>
      <c r="I23" s="17"/>
      <c r="J23" t="s">
        <v>160</v>
      </c>
      <c r="K23" t="s">
        <v>158</v>
      </c>
      <c r="M23" t="s">
        <v>161</v>
      </c>
      <c r="Q23" s="19"/>
      <c r="R23" t="s">
        <v>157</v>
      </c>
      <c r="W23" t="s">
        <v>160</v>
      </c>
      <c r="Y23" s="19"/>
      <c r="Z23" t="s">
        <v>160</v>
      </c>
      <c r="AA23" t="s">
        <v>158</v>
      </c>
      <c r="AC23" t="s">
        <v>161</v>
      </c>
      <c r="AG23" s="19"/>
      <c r="AH23" t="s">
        <v>157</v>
      </c>
      <c r="AO23" s="19" t="s">
        <v>161</v>
      </c>
      <c r="AP23">
        <f t="shared" si="1"/>
        <v>12</v>
      </c>
      <c r="AQ23" t="s">
        <v>172</v>
      </c>
    </row>
    <row r="24" ht="15.75" customHeight="1">
      <c r="A24" t="s">
        <v>176</v>
      </c>
      <c r="H24" t="s">
        <v>177</v>
      </c>
      <c r="I24" s="17" t="s">
        <v>177</v>
      </c>
      <c r="J24" t="s">
        <v>177</v>
      </c>
      <c r="Q24" s="19"/>
      <c r="R24" t="s">
        <v>177</v>
      </c>
      <c r="Y24" s="19"/>
      <c r="Z24" t="s">
        <v>177</v>
      </c>
      <c r="AB24" t="s">
        <v>182</v>
      </c>
      <c r="AC24" t="s">
        <v>182</v>
      </c>
      <c r="AG24" s="19" t="s">
        <v>182</v>
      </c>
      <c r="AH24" t="s">
        <v>177</v>
      </c>
      <c r="AO24" s="19"/>
      <c r="AP24">
        <f t="shared" si="1"/>
        <v>9</v>
      </c>
      <c r="AQ24" t="s">
        <v>186</v>
      </c>
    </row>
    <row r="25" ht="15.75" customHeight="1">
      <c r="A25" t="s">
        <v>187</v>
      </c>
      <c r="B25" t="s">
        <v>189</v>
      </c>
      <c r="I25" s="17"/>
      <c r="P25" t="s">
        <v>190</v>
      </c>
      <c r="Q25" s="19"/>
      <c r="R25" t="s">
        <v>189</v>
      </c>
      <c r="X25" t="s">
        <v>190</v>
      </c>
      <c r="Y25" s="19"/>
      <c r="AD25" t="s">
        <v>190</v>
      </c>
      <c r="AG25" s="19"/>
      <c r="AH25" t="s">
        <v>189</v>
      </c>
      <c r="AO25" s="19"/>
      <c r="AP25">
        <f t="shared" si="1"/>
        <v>6</v>
      </c>
      <c r="AQ25" t="s">
        <v>195</v>
      </c>
    </row>
    <row r="26" ht="15.75" customHeight="1">
      <c r="A26" t="s">
        <v>197</v>
      </c>
      <c r="I26" s="17" t="s">
        <v>198</v>
      </c>
      <c r="Q26" s="19" t="s">
        <v>200</v>
      </c>
      <c r="Y26" s="19" t="s">
        <v>202</v>
      </c>
      <c r="AG26" s="19" t="s">
        <v>204</v>
      </c>
      <c r="AO26" t="s">
        <v>205</v>
      </c>
      <c r="AP26">
        <f t="shared" si="1"/>
        <v>5</v>
      </c>
      <c r="AQ26" t="s">
        <v>208</v>
      </c>
    </row>
    <row r="27" ht="15.75" customHeight="1">
      <c r="A27" t="s">
        <v>210</v>
      </c>
      <c r="B27" t="s">
        <v>211</v>
      </c>
      <c r="I27" s="17"/>
      <c r="J27" t="s">
        <v>211</v>
      </c>
      <c r="Q27" s="19"/>
      <c r="R27" t="s">
        <v>211</v>
      </c>
      <c r="W27" t="s">
        <v>211</v>
      </c>
      <c r="Y27" s="19"/>
      <c r="Z27" t="s">
        <v>211</v>
      </c>
      <c r="AA27" t="s">
        <v>213</v>
      </c>
      <c r="AB27" t="s">
        <v>213</v>
      </c>
      <c r="AG27" s="19"/>
      <c r="AH27" t="s">
        <v>211</v>
      </c>
      <c r="AO27" s="19"/>
      <c r="AP27">
        <f t="shared" si="1"/>
        <v>8</v>
      </c>
      <c r="AQ27" t="s">
        <v>218</v>
      </c>
    </row>
    <row r="28" ht="15.75" customHeight="1">
      <c r="A28" t="s">
        <v>220</v>
      </c>
      <c r="B28" t="s">
        <v>222</v>
      </c>
      <c r="I28" s="17"/>
      <c r="J28" t="s">
        <v>224</v>
      </c>
      <c r="Q28" s="19"/>
      <c r="R28" t="s">
        <v>222</v>
      </c>
      <c r="Y28" s="19"/>
      <c r="Z28" t="s">
        <v>224</v>
      </c>
      <c r="AG28" s="19"/>
      <c r="AH28" t="s">
        <v>222</v>
      </c>
      <c r="AO28" s="19"/>
      <c r="AP28">
        <f t="shared" si="1"/>
        <v>5</v>
      </c>
      <c r="AQ28" t="s">
        <v>227</v>
      </c>
    </row>
    <row r="29" ht="15.75" customHeight="1">
      <c r="A29" t="s">
        <v>164</v>
      </c>
      <c r="B29" t="s">
        <v>228</v>
      </c>
      <c r="I29" s="17"/>
      <c r="J29" t="s">
        <v>229</v>
      </c>
      <c r="Q29" s="19"/>
      <c r="R29" t="s">
        <v>228</v>
      </c>
      <c r="W29" t="s">
        <v>229</v>
      </c>
      <c r="Y29" s="19"/>
      <c r="Z29" t="s">
        <v>229</v>
      </c>
      <c r="AG29" s="19"/>
      <c r="AH29" t="s">
        <v>228</v>
      </c>
      <c r="AJ29" t="s">
        <v>229</v>
      </c>
      <c r="AO29" s="19"/>
      <c r="AP29">
        <f t="shared" si="1"/>
        <v>7</v>
      </c>
      <c r="AQ29" t="s">
        <v>232</v>
      </c>
    </row>
    <row r="30" ht="15.75" customHeight="1">
      <c r="A30" t="s">
        <v>234</v>
      </c>
      <c r="E30" t="s">
        <v>119</v>
      </c>
      <c r="G30" t="s">
        <v>236</v>
      </c>
      <c r="H30" t="s">
        <v>237</v>
      </c>
      <c r="I30" s="17" t="s">
        <v>238</v>
      </c>
      <c r="O30" t="s">
        <v>240</v>
      </c>
      <c r="Q30" s="19" t="s">
        <v>119</v>
      </c>
      <c r="W30" t="s">
        <v>241</v>
      </c>
      <c r="X30" t="s">
        <v>121</v>
      </c>
      <c r="Y30" s="19" t="s">
        <v>243</v>
      </c>
      <c r="AD30" t="s">
        <v>121</v>
      </c>
      <c r="AG30" s="19"/>
      <c r="AO30" s="19" t="s">
        <v>244</v>
      </c>
      <c r="AP30">
        <f t="shared" si="1"/>
        <v>11</v>
      </c>
      <c r="AQ30" t="s">
        <v>246</v>
      </c>
    </row>
    <row r="31" ht="15.75" customHeight="1">
      <c r="A31" t="s">
        <v>248</v>
      </c>
      <c r="B31" t="s">
        <v>250</v>
      </c>
      <c r="I31" s="28"/>
      <c r="J31" t="s">
        <v>254</v>
      </c>
      <c r="L31" t="s">
        <v>250</v>
      </c>
      <c r="Q31" s="19"/>
      <c r="R31" t="s">
        <v>250</v>
      </c>
      <c r="Y31" s="19"/>
      <c r="Z31" t="s">
        <v>254</v>
      </c>
      <c r="AG31" s="19"/>
      <c r="AH31" t="s">
        <v>250</v>
      </c>
      <c r="AO31" s="19"/>
      <c r="AP31">
        <f t="shared" si="1"/>
        <v>6</v>
      </c>
      <c r="AQ31" t="s">
        <v>255</v>
      </c>
    </row>
    <row r="32" ht="15.75" customHeight="1">
      <c r="A32" t="s">
        <v>233</v>
      </c>
      <c r="C32" t="s">
        <v>128</v>
      </c>
      <c r="D32" t="s">
        <v>256</v>
      </c>
      <c r="F32" t="s">
        <v>130</v>
      </c>
      <c r="G32" t="s">
        <v>257</v>
      </c>
      <c r="H32" t="s">
        <v>86</v>
      </c>
      <c r="I32" s="28"/>
      <c r="K32" t="s">
        <v>257</v>
      </c>
      <c r="M32" t="s">
        <v>256</v>
      </c>
      <c r="N32" t="s">
        <v>130</v>
      </c>
      <c r="P32" t="s">
        <v>128</v>
      </c>
      <c r="Q32" s="19" t="s">
        <v>132</v>
      </c>
      <c r="T32" t="s">
        <v>86</v>
      </c>
      <c r="U32" t="s">
        <v>132</v>
      </c>
      <c r="V32" t="s">
        <v>256</v>
      </c>
      <c r="X32" t="s">
        <v>133</v>
      </c>
      <c r="Y32" s="19"/>
      <c r="AA32" t="s">
        <v>132</v>
      </c>
      <c r="AB32" t="s">
        <v>130</v>
      </c>
      <c r="AC32" t="s">
        <v>128</v>
      </c>
      <c r="AE32" t="s">
        <v>92</v>
      </c>
      <c r="AF32" t="s">
        <v>133</v>
      </c>
      <c r="AG32" s="19"/>
      <c r="AI32" t="s">
        <v>130</v>
      </c>
      <c r="AJ32" t="s">
        <v>256</v>
      </c>
      <c r="AL32" t="s">
        <v>257</v>
      </c>
      <c r="AN32" t="s">
        <v>132</v>
      </c>
      <c r="AO32" s="19" t="s">
        <v>128</v>
      </c>
      <c r="AP32">
        <f t="shared" si="1"/>
        <v>24</v>
      </c>
      <c r="AQ32" t="s">
        <v>260</v>
      </c>
    </row>
    <row r="33" ht="15.75" customHeight="1">
      <c r="A33" t="s">
        <v>168</v>
      </c>
      <c r="B33" t="s">
        <v>263</v>
      </c>
      <c r="I33" s="28"/>
      <c r="J33" t="s">
        <v>265</v>
      </c>
      <c r="Q33" s="19"/>
      <c r="R33" t="s">
        <v>263</v>
      </c>
      <c r="Y33" s="19"/>
      <c r="Z33" t="s">
        <v>265</v>
      </c>
      <c r="AG33" s="19"/>
      <c r="AH33" t="s">
        <v>263</v>
      </c>
      <c r="AK33" t="s">
        <v>265</v>
      </c>
      <c r="AO33" s="19"/>
      <c r="AP33">
        <f t="shared" si="1"/>
        <v>6</v>
      </c>
      <c r="AQ33" t="s">
        <v>246</v>
      </c>
    </row>
    <row r="34" ht="15.75" customHeight="1">
      <c r="A34" t="s">
        <v>219</v>
      </c>
      <c r="B34" t="s">
        <v>269</v>
      </c>
      <c r="C34" t="s">
        <v>270</v>
      </c>
      <c r="D34" t="s">
        <v>270</v>
      </c>
      <c r="I34" s="28"/>
      <c r="J34" t="s">
        <v>272</v>
      </c>
      <c r="K34" t="s">
        <v>274</v>
      </c>
      <c r="L34" t="s">
        <v>274</v>
      </c>
      <c r="N34" t="s">
        <v>269</v>
      </c>
      <c r="Q34" s="19"/>
      <c r="R34" t="s">
        <v>269</v>
      </c>
      <c r="Y34" s="19"/>
      <c r="Z34" t="s">
        <v>272</v>
      </c>
      <c r="AD34" t="s">
        <v>269</v>
      </c>
      <c r="AG34" s="19"/>
      <c r="AH34" t="s">
        <v>269</v>
      </c>
      <c r="AO34" s="19"/>
      <c r="AP34">
        <f t="shared" si="1"/>
        <v>11</v>
      </c>
      <c r="AQ34" t="s">
        <v>275</v>
      </c>
    </row>
    <row r="35" ht="15.75" customHeight="1">
      <c r="A35" t="s">
        <v>216</v>
      </c>
      <c r="B35" t="s">
        <v>276</v>
      </c>
      <c r="C35" t="s">
        <v>278</v>
      </c>
      <c r="D35" t="s">
        <v>256</v>
      </c>
      <c r="G35" t="s">
        <v>257</v>
      </c>
      <c r="H35" t="s">
        <v>280</v>
      </c>
      <c r="I35" s="28"/>
      <c r="J35" t="s">
        <v>281</v>
      </c>
      <c r="K35" t="s">
        <v>257</v>
      </c>
      <c r="M35" t="s">
        <v>256</v>
      </c>
      <c r="O35" t="s">
        <v>278</v>
      </c>
      <c r="Q35" s="19"/>
      <c r="R35" t="s">
        <v>276</v>
      </c>
      <c r="S35" t="s">
        <v>278</v>
      </c>
      <c r="U35" t="s">
        <v>281</v>
      </c>
      <c r="V35" t="s">
        <v>256</v>
      </c>
      <c r="X35" t="s">
        <v>283</v>
      </c>
      <c r="Y35" s="19" t="s">
        <v>284</v>
      </c>
      <c r="Z35" t="s">
        <v>281</v>
      </c>
      <c r="AF35" t="s">
        <v>283</v>
      </c>
      <c r="AG35" s="19"/>
      <c r="AH35" t="s">
        <v>276</v>
      </c>
      <c r="AJ35" t="s">
        <v>256</v>
      </c>
      <c r="AL35" t="s">
        <v>257</v>
      </c>
      <c r="AO35" s="19" t="s">
        <v>278</v>
      </c>
      <c r="AP35">
        <f t="shared" si="1"/>
        <v>21</v>
      </c>
      <c r="AQ35" t="s">
        <v>287</v>
      </c>
    </row>
    <row r="36" ht="15.75" customHeight="1">
      <c r="A36" t="s">
        <v>196</v>
      </c>
      <c r="B36" t="s">
        <v>288</v>
      </c>
      <c r="I36" s="28"/>
      <c r="J36" t="s">
        <v>289</v>
      </c>
      <c r="K36" t="s">
        <v>290</v>
      </c>
      <c r="N36" t="s">
        <v>288</v>
      </c>
      <c r="O36" t="s">
        <v>290</v>
      </c>
      <c r="Q36" s="19"/>
      <c r="R36" t="s">
        <v>288</v>
      </c>
      <c r="S36" t="s">
        <v>291</v>
      </c>
      <c r="T36" t="s">
        <v>291</v>
      </c>
      <c r="Y36" s="19"/>
      <c r="Z36" t="s">
        <v>289</v>
      </c>
      <c r="AD36" t="s">
        <v>288</v>
      </c>
      <c r="AG36" s="19"/>
      <c r="AH36" t="s">
        <v>288</v>
      </c>
      <c r="AO36" s="19"/>
      <c r="AP36">
        <f t="shared" si="1"/>
        <v>11</v>
      </c>
      <c r="AQ36" t="s">
        <v>293</v>
      </c>
    </row>
    <row r="37" ht="15.75" customHeight="1">
      <c r="A37" t="s">
        <v>252</v>
      </c>
      <c r="D37" t="s">
        <v>101</v>
      </c>
      <c r="G37" t="s">
        <v>295</v>
      </c>
      <c r="H37" t="s">
        <v>31</v>
      </c>
      <c r="I37" s="28"/>
      <c r="K37" t="s">
        <v>295</v>
      </c>
      <c r="M37" t="s">
        <v>296</v>
      </c>
      <c r="N37" t="s">
        <v>101</v>
      </c>
      <c r="P37" t="s">
        <v>31</v>
      </c>
      <c r="Q37" s="19"/>
      <c r="T37" t="s">
        <v>31</v>
      </c>
      <c r="U37" t="s">
        <v>31</v>
      </c>
      <c r="W37" t="s">
        <v>101</v>
      </c>
      <c r="Y37" s="19"/>
      <c r="AC37" t="s">
        <v>296</v>
      </c>
      <c r="AE37" t="s">
        <v>31</v>
      </c>
      <c r="AF37" t="s">
        <v>101</v>
      </c>
      <c r="AG37" s="19" t="s">
        <v>101</v>
      </c>
      <c r="AI37" t="s">
        <v>31</v>
      </c>
      <c r="AJ37" t="s">
        <v>101</v>
      </c>
      <c r="AO37" s="19" t="s">
        <v>296</v>
      </c>
      <c r="AP37">
        <f t="shared" si="1"/>
        <v>17</v>
      </c>
      <c r="AQ37" t="s">
        <v>297</v>
      </c>
    </row>
    <row r="38" ht="15.75" customHeight="1">
      <c r="A38" t="s">
        <v>298</v>
      </c>
      <c r="B38" t="s">
        <v>299</v>
      </c>
      <c r="E38" t="s">
        <v>300</v>
      </c>
      <c r="G38" t="s">
        <v>301</v>
      </c>
      <c r="H38" t="s">
        <v>301</v>
      </c>
      <c r="I38" s="28"/>
      <c r="J38" t="s">
        <v>299</v>
      </c>
      <c r="M38" t="s">
        <v>302</v>
      </c>
      <c r="O38" t="s">
        <v>302</v>
      </c>
      <c r="Q38" s="19" t="s">
        <v>300</v>
      </c>
      <c r="R38" t="s">
        <v>299</v>
      </c>
      <c r="X38" t="s">
        <v>299</v>
      </c>
      <c r="Y38" s="19"/>
      <c r="Z38" t="s">
        <v>299</v>
      </c>
      <c r="AA38" t="s">
        <v>303</v>
      </c>
      <c r="AB38" t="s">
        <v>303</v>
      </c>
      <c r="AG38" s="19"/>
      <c r="AH38" t="s">
        <v>299</v>
      </c>
      <c r="AI38" t="s">
        <v>302</v>
      </c>
      <c r="AL38" t="s">
        <v>300</v>
      </c>
      <c r="AO38" s="19"/>
      <c r="AP38">
        <f t="shared" si="1"/>
        <v>16</v>
      </c>
      <c r="AQ38" t="s">
        <v>304</v>
      </c>
    </row>
    <row r="39" ht="15.75" customHeight="1">
      <c r="A39" t="s">
        <v>146</v>
      </c>
      <c r="B39" t="s">
        <v>305</v>
      </c>
      <c r="E39" t="s">
        <v>306</v>
      </c>
      <c r="G39" t="s">
        <v>158</v>
      </c>
      <c r="H39" t="s">
        <v>31</v>
      </c>
      <c r="I39" s="28"/>
      <c r="J39" t="s">
        <v>305</v>
      </c>
      <c r="K39" t="s">
        <v>158</v>
      </c>
      <c r="M39" t="s">
        <v>161</v>
      </c>
      <c r="O39" t="s">
        <v>305</v>
      </c>
      <c r="P39" t="s">
        <v>31</v>
      </c>
      <c r="Q39" s="19" t="s">
        <v>306</v>
      </c>
      <c r="R39" t="s">
        <v>305</v>
      </c>
      <c r="T39" t="s">
        <v>31</v>
      </c>
      <c r="U39" t="s">
        <v>31</v>
      </c>
      <c r="Y39" s="19"/>
      <c r="Z39" t="s">
        <v>305</v>
      </c>
      <c r="AA39" t="s">
        <v>158</v>
      </c>
      <c r="AC39" t="s">
        <v>161</v>
      </c>
      <c r="AE39" t="s">
        <v>31</v>
      </c>
      <c r="AG39" s="19"/>
      <c r="AH39" t="s">
        <v>305</v>
      </c>
      <c r="AI39" t="s">
        <v>31</v>
      </c>
      <c r="AL39" t="s">
        <v>307</v>
      </c>
      <c r="AO39" s="19" t="s">
        <v>161</v>
      </c>
      <c r="AP39">
        <f t="shared" si="1"/>
        <v>21</v>
      </c>
      <c r="AQ39" t="s">
        <v>308</v>
      </c>
    </row>
    <row r="40" ht="15.75" customHeight="1">
      <c r="A40" t="s">
        <v>201</v>
      </c>
      <c r="B40" t="s">
        <v>309</v>
      </c>
      <c r="I40" s="28"/>
      <c r="J40" t="s">
        <v>310</v>
      </c>
      <c r="M40" t="s">
        <v>311</v>
      </c>
      <c r="Q40" s="19" t="s">
        <v>311</v>
      </c>
      <c r="R40" t="s">
        <v>309</v>
      </c>
      <c r="Y40" s="19"/>
      <c r="Z40" t="s">
        <v>310</v>
      </c>
      <c r="AG40" s="19"/>
      <c r="AH40" t="s">
        <v>309</v>
      </c>
      <c r="AO40" s="19"/>
      <c r="AP40">
        <f t="shared" si="1"/>
        <v>7</v>
      </c>
      <c r="AQ40" t="s">
        <v>312</v>
      </c>
    </row>
    <row r="41" ht="15.75" customHeight="1">
      <c r="A41" t="s">
        <v>247</v>
      </c>
      <c r="C41" t="s">
        <v>83</v>
      </c>
      <c r="D41" t="s">
        <v>129</v>
      </c>
      <c r="F41" t="s">
        <v>85</v>
      </c>
      <c r="G41" t="s">
        <v>131</v>
      </c>
      <c r="H41" t="s">
        <v>313</v>
      </c>
      <c r="I41" s="28" t="s">
        <v>87</v>
      </c>
      <c r="K41" t="s">
        <v>131</v>
      </c>
      <c r="M41" t="s">
        <v>129</v>
      </c>
      <c r="N41" t="s">
        <v>85</v>
      </c>
      <c r="O41" t="s">
        <v>83</v>
      </c>
      <c r="P41" t="s">
        <v>87</v>
      </c>
      <c r="Q41" s="19"/>
      <c r="S41" t="s">
        <v>83</v>
      </c>
      <c r="T41" t="s">
        <v>313</v>
      </c>
      <c r="V41" t="s">
        <v>129</v>
      </c>
      <c r="X41" t="s">
        <v>283</v>
      </c>
      <c r="Y41" s="19" t="s">
        <v>284</v>
      </c>
      <c r="AB41" t="s">
        <v>85</v>
      </c>
      <c r="AD41" t="s">
        <v>87</v>
      </c>
      <c r="AF41" t="s">
        <v>283</v>
      </c>
      <c r="AG41" s="19" t="s">
        <v>131</v>
      </c>
      <c r="AI41" t="s">
        <v>85</v>
      </c>
      <c r="AJ41" t="s">
        <v>129</v>
      </c>
      <c r="AL41" t="s">
        <v>131</v>
      </c>
      <c r="AM41" t="s">
        <v>87</v>
      </c>
      <c r="AO41" s="19" t="s">
        <v>83</v>
      </c>
      <c r="AP41">
        <f t="shared" si="1"/>
        <v>25</v>
      </c>
      <c r="AQ41" t="s">
        <v>319</v>
      </c>
    </row>
    <row r="42" ht="15.75" customHeight="1">
      <c r="A42" t="s">
        <v>321</v>
      </c>
      <c r="B42" t="s">
        <v>322</v>
      </c>
      <c r="F42" t="s">
        <v>323</v>
      </c>
      <c r="I42" s="28" t="s">
        <v>323</v>
      </c>
      <c r="J42" t="s">
        <v>324</v>
      </c>
      <c r="L42" t="s">
        <v>322</v>
      </c>
      <c r="Q42" s="19"/>
      <c r="R42" t="s">
        <v>322</v>
      </c>
      <c r="Y42" s="19"/>
      <c r="Z42" t="s">
        <v>324</v>
      </c>
      <c r="AG42" s="19"/>
      <c r="AH42" t="s">
        <v>322</v>
      </c>
      <c r="AO42" s="19"/>
      <c r="AP42">
        <f t="shared" si="1"/>
        <v>8</v>
      </c>
      <c r="AQ42" t="s">
        <v>326</v>
      </c>
    </row>
    <row r="43" ht="15.75" customHeight="1">
      <c r="A43" t="s">
        <v>328</v>
      </c>
      <c r="B43" t="s">
        <v>329</v>
      </c>
      <c r="I43" s="28"/>
      <c r="J43" t="s">
        <v>329</v>
      </c>
      <c r="Q43" s="19"/>
      <c r="X43" t="s">
        <v>329</v>
      </c>
      <c r="Y43" s="19" t="s">
        <v>329</v>
      </c>
      <c r="Z43" t="s">
        <v>329</v>
      </c>
      <c r="AG43" s="19"/>
      <c r="AH43" t="s">
        <v>329</v>
      </c>
      <c r="AK43" t="s">
        <v>330</v>
      </c>
      <c r="AL43" t="s">
        <v>330</v>
      </c>
      <c r="AO43" s="19"/>
      <c r="AP43">
        <f t="shared" si="1"/>
        <v>8</v>
      </c>
      <c r="AQ43" t="s">
        <v>332</v>
      </c>
    </row>
    <row r="44" ht="15.75" customHeight="1">
      <c r="A44" t="s">
        <v>333</v>
      </c>
      <c r="H44" t="s">
        <v>313</v>
      </c>
      <c r="I44" s="28"/>
      <c r="Q44" s="19"/>
      <c r="T44" t="s">
        <v>313</v>
      </c>
      <c r="Y44" s="19"/>
      <c r="AG44" s="19"/>
      <c r="AO44" s="19"/>
      <c r="AP44">
        <f t="shared" si="1"/>
        <v>2</v>
      </c>
      <c r="AQ44" t="s">
        <v>335</v>
      </c>
    </row>
    <row r="45" ht="15.75" customHeight="1">
      <c r="A45" t="s">
        <v>336</v>
      </c>
      <c r="C45" t="s">
        <v>278</v>
      </c>
      <c r="D45" t="s">
        <v>84</v>
      </c>
      <c r="G45" t="s">
        <v>337</v>
      </c>
      <c r="I45" s="28"/>
      <c r="K45" t="s">
        <v>337</v>
      </c>
      <c r="L45" t="s">
        <v>84</v>
      </c>
      <c r="O45" t="s">
        <v>278</v>
      </c>
      <c r="Q45" s="19" t="s">
        <v>89</v>
      </c>
      <c r="S45" t="s">
        <v>278</v>
      </c>
      <c r="U45" t="s">
        <v>89</v>
      </c>
      <c r="W45" t="s">
        <v>84</v>
      </c>
      <c r="X45" t="s">
        <v>90</v>
      </c>
      <c r="Y45" s="19" t="s">
        <v>91</v>
      </c>
      <c r="AA45" t="s">
        <v>89</v>
      </c>
      <c r="AE45" t="s">
        <v>134</v>
      </c>
      <c r="AF45" t="s">
        <v>90</v>
      </c>
      <c r="AG45" s="19" t="s">
        <v>337</v>
      </c>
      <c r="AJ45" t="s">
        <v>84</v>
      </c>
      <c r="AK45" t="s">
        <v>91</v>
      </c>
      <c r="AL45" t="s">
        <v>337</v>
      </c>
      <c r="AN45" t="s">
        <v>89</v>
      </c>
      <c r="AO45" s="19" t="s">
        <v>278</v>
      </c>
      <c r="AP45">
        <f t="shared" si="1"/>
        <v>21</v>
      </c>
      <c r="AQ45" t="s">
        <v>338</v>
      </c>
    </row>
    <row r="46" ht="15.75" customHeight="1">
      <c r="A46" t="s">
        <v>339</v>
      </c>
      <c r="B46" t="s">
        <v>340</v>
      </c>
      <c r="I46" s="28"/>
      <c r="J46" t="s">
        <v>341</v>
      </c>
      <c r="Q46" s="19"/>
      <c r="R46" t="s">
        <v>340</v>
      </c>
      <c r="Y46" s="19"/>
      <c r="Z46" t="s">
        <v>341</v>
      </c>
      <c r="AG46" s="19"/>
      <c r="AH46" t="s">
        <v>340</v>
      </c>
      <c r="AO46" s="19"/>
      <c r="AP46">
        <f t="shared" si="1"/>
        <v>5</v>
      </c>
      <c r="AQ46" t="s">
        <v>343</v>
      </c>
    </row>
    <row r="47" ht="15.75" customHeight="1">
      <c r="A47" t="s">
        <v>344</v>
      </c>
      <c r="B47" t="s">
        <v>345</v>
      </c>
      <c r="E47" t="s">
        <v>346</v>
      </c>
      <c r="I47" s="28"/>
      <c r="J47" t="s">
        <v>346</v>
      </c>
      <c r="Q47" s="19"/>
      <c r="R47" t="s">
        <v>345</v>
      </c>
      <c r="V47" t="s">
        <v>346</v>
      </c>
      <c r="Y47" s="19"/>
      <c r="Z47" t="s">
        <v>346</v>
      </c>
      <c r="AG47" s="19"/>
      <c r="AH47" t="s">
        <v>345</v>
      </c>
      <c r="AJ47" t="s">
        <v>346</v>
      </c>
      <c r="AO47" s="19"/>
      <c r="AP47">
        <f t="shared" si="1"/>
        <v>8</v>
      </c>
      <c r="AQ47" t="s">
        <v>348</v>
      </c>
    </row>
    <row r="48" ht="15.75" customHeight="1">
      <c r="A48" t="s">
        <v>350</v>
      </c>
      <c r="B48" t="s">
        <v>351</v>
      </c>
      <c r="C48" t="s">
        <v>352</v>
      </c>
      <c r="G48" t="s">
        <v>352</v>
      </c>
      <c r="I48" s="28"/>
      <c r="J48" t="s">
        <v>351</v>
      </c>
      <c r="Q48" s="19"/>
      <c r="R48" t="s">
        <v>351</v>
      </c>
      <c r="W48" t="s">
        <v>351</v>
      </c>
      <c r="Y48" s="19"/>
      <c r="Z48" t="s">
        <v>351</v>
      </c>
      <c r="AG48" s="19"/>
      <c r="AH48" t="s">
        <v>351</v>
      </c>
      <c r="AO48" s="19"/>
      <c r="AP48">
        <f t="shared" si="1"/>
        <v>8</v>
      </c>
      <c r="AQ48" t="s">
        <v>354</v>
      </c>
    </row>
    <row r="49" ht="15.75" customHeight="1">
      <c r="A49" t="s">
        <v>355</v>
      </c>
      <c r="B49" t="s">
        <v>356</v>
      </c>
      <c r="D49" t="s">
        <v>101</v>
      </c>
      <c r="E49" t="s">
        <v>356</v>
      </c>
      <c r="G49" t="s">
        <v>295</v>
      </c>
      <c r="I49" s="28"/>
      <c r="J49" t="s">
        <v>356</v>
      </c>
      <c r="K49" t="s">
        <v>295</v>
      </c>
      <c r="M49" t="s">
        <v>296</v>
      </c>
      <c r="N49" t="s">
        <v>101</v>
      </c>
      <c r="P49" t="s">
        <v>358</v>
      </c>
      <c r="Q49" s="19"/>
      <c r="R49" t="s">
        <v>356</v>
      </c>
      <c r="T49" t="s">
        <v>358</v>
      </c>
      <c r="U49" t="s">
        <v>358</v>
      </c>
      <c r="W49" t="s">
        <v>101</v>
      </c>
      <c r="Y49" s="19"/>
      <c r="Z49" t="s">
        <v>356</v>
      </c>
      <c r="AC49" t="s">
        <v>296</v>
      </c>
      <c r="AE49" t="s">
        <v>358</v>
      </c>
      <c r="AF49" t="s">
        <v>101</v>
      </c>
      <c r="AG49" s="19" t="s">
        <v>101</v>
      </c>
      <c r="AH49" t="s">
        <v>356</v>
      </c>
      <c r="AJ49" t="s">
        <v>101</v>
      </c>
      <c r="AK49" t="s">
        <v>358</v>
      </c>
      <c r="AO49" s="19" t="s">
        <v>296</v>
      </c>
      <c r="AP49">
        <f t="shared" si="1"/>
        <v>22</v>
      </c>
      <c r="AQ49" t="s">
        <v>359</v>
      </c>
    </row>
    <row r="50" ht="15.75" customHeight="1">
      <c r="A50" t="s">
        <v>360</v>
      </c>
      <c r="I50" s="28"/>
      <c r="M50" t="s">
        <v>361</v>
      </c>
      <c r="Q50" s="19"/>
      <c r="Y50" s="19"/>
      <c r="AC50" t="s">
        <v>361</v>
      </c>
      <c r="AG50" s="19"/>
      <c r="AO50" s="19" t="s">
        <v>361</v>
      </c>
      <c r="AP50">
        <f t="shared" si="1"/>
        <v>3</v>
      </c>
      <c r="AQ50" t="s">
        <v>362</v>
      </c>
    </row>
    <row r="51" ht="15.75" customHeight="1">
      <c r="A51" t="s">
        <v>363</v>
      </c>
      <c r="B51" t="s">
        <v>364</v>
      </c>
      <c r="I51" s="28"/>
      <c r="J51" t="s">
        <v>365</v>
      </c>
      <c r="Q51" s="19"/>
      <c r="R51" t="s">
        <v>364</v>
      </c>
      <c r="Y51" s="19"/>
      <c r="Z51" t="s">
        <v>365</v>
      </c>
      <c r="AG51" s="19"/>
      <c r="AH51" t="s">
        <v>364</v>
      </c>
      <c r="AO51" s="19"/>
      <c r="AP51">
        <f t="shared" si="1"/>
        <v>5</v>
      </c>
      <c r="AQ51" t="s">
        <v>366</v>
      </c>
    </row>
    <row r="52" ht="15.75" customHeight="1">
      <c r="A52" t="s">
        <v>367</v>
      </c>
      <c r="B52" t="s">
        <v>368</v>
      </c>
      <c r="I52" s="28"/>
      <c r="J52" t="s">
        <v>369</v>
      </c>
      <c r="L52" t="s">
        <v>368</v>
      </c>
      <c r="Q52" s="19"/>
      <c r="R52" t="s">
        <v>368</v>
      </c>
      <c r="Y52" s="19"/>
      <c r="Z52" t="s">
        <v>369</v>
      </c>
      <c r="AB52" t="s">
        <v>368</v>
      </c>
      <c r="AG52" s="19"/>
      <c r="AH52" t="s">
        <v>368</v>
      </c>
      <c r="AO52" s="19"/>
      <c r="AP52">
        <f t="shared" si="1"/>
        <v>7</v>
      </c>
      <c r="AQ52" t="s">
        <v>370</v>
      </c>
    </row>
    <row r="53" ht="15.75" customHeight="1">
      <c r="A53" t="s">
        <v>371</v>
      </c>
      <c r="I53" s="28"/>
      <c r="Q53" s="19"/>
      <c r="Y53" s="19"/>
      <c r="AG53" s="19"/>
      <c r="AO53" s="19"/>
      <c r="AP53">
        <f t="shared" si="1"/>
        <v>0</v>
      </c>
      <c r="AQ53" t="s">
        <v>372</v>
      </c>
    </row>
    <row r="54" ht="15.75" customHeight="1">
      <c r="A54" t="s">
        <v>1</v>
      </c>
      <c r="I54" s="28"/>
      <c r="Q54" s="19"/>
      <c r="Y54" s="19"/>
      <c r="AG54" s="19"/>
      <c r="AO54" s="19"/>
    </row>
    <row r="55" ht="15.75" customHeight="1">
      <c r="I55" s="28"/>
      <c r="Q55" s="19"/>
      <c r="Y55" s="19"/>
      <c r="AG55" s="19"/>
      <c r="AO55" s="19"/>
    </row>
    <row r="56" ht="15.75" customHeight="1">
      <c r="I56" s="28"/>
      <c r="Q56" s="19"/>
      <c r="Y56" s="19"/>
      <c r="AG56" s="19"/>
      <c r="AO56" s="19"/>
    </row>
    <row r="57" ht="15.75" customHeight="1">
      <c r="I57" s="28"/>
      <c r="Q57" s="19"/>
      <c r="Y57" s="19"/>
      <c r="AG57" s="19"/>
      <c r="AO57" s="19"/>
    </row>
    <row r="58" ht="15.75" customHeight="1">
      <c r="I58" s="28"/>
      <c r="Q58" s="19"/>
      <c r="Y58" s="19"/>
      <c r="AG58" s="19"/>
      <c r="AO58" s="19"/>
    </row>
    <row r="59" ht="15.75" customHeight="1">
      <c r="I59" s="28"/>
      <c r="Q59" s="19"/>
      <c r="Y59" s="19"/>
      <c r="AG59" s="19"/>
      <c r="AO59" s="19"/>
    </row>
    <row r="60" ht="15.75" customHeight="1">
      <c r="I60" s="28"/>
      <c r="Q60" s="19"/>
      <c r="Y60" s="19"/>
      <c r="AG60" s="19"/>
      <c r="AO60" s="19"/>
    </row>
    <row r="61" ht="15.75" customHeight="1">
      <c r="I61" s="28"/>
      <c r="Q61" s="19"/>
      <c r="Y61" s="19"/>
      <c r="AG61" s="19"/>
      <c r="AO61" s="19"/>
    </row>
    <row r="62" ht="15.75" customHeight="1">
      <c r="I62" s="28"/>
      <c r="Q62" s="19"/>
      <c r="Y62" s="19"/>
      <c r="AG62" s="19"/>
      <c r="AO62" s="19"/>
    </row>
    <row r="63" ht="15.75" customHeight="1">
      <c r="I63" s="28"/>
      <c r="Q63" s="19"/>
    </row>
    <row r="64" ht="15.75" customHeight="1">
      <c r="I64" s="28"/>
      <c r="Q64" s="19"/>
    </row>
    <row r="65" ht="15.75" customHeight="1">
      <c r="I65" s="28"/>
      <c r="Q65" s="19"/>
    </row>
    <row r="66" ht="15.75" customHeight="1">
      <c r="I66" s="28"/>
      <c r="Q66" s="19"/>
    </row>
    <row r="67" ht="15.75" customHeight="1">
      <c r="I67" s="28"/>
      <c r="Q67" s="19"/>
    </row>
    <row r="68" ht="15.75" customHeight="1">
      <c r="I68" s="28"/>
      <c r="Q68" s="19"/>
    </row>
    <row r="69" ht="15.75" customHeight="1">
      <c r="I69" s="28"/>
      <c r="Q69" s="19"/>
    </row>
    <row r="70" ht="15.75" customHeight="1">
      <c r="I70" s="28"/>
      <c r="Q70" s="19"/>
    </row>
    <row r="71" ht="15.75" customHeight="1">
      <c r="I71" s="28"/>
      <c r="Q71" s="19"/>
    </row>
    <row r="72" ht="15.75" customHeight="1">
      <c r="I72" s="28"/>
      <c r="Q72" s="19"/>
    </row>
    <row r="73" ht="15.75" customHeight="1">
      <c r="I73" s="28"/>
      <c r="Q73" s="19"/>
    </row>
    <row r="74" ht="15.75" customHeight="1">
      <c r="I74" s="28"/>
      <c r="Q74" s="19"/>
    </row>
    <row r="75" ht="15.75" customHeight="1">
      <c r="I75" s="28"/>
      <c r="Q75" s="19"/>
    </row>
    <row r="76" ht="15.75" customHeight="1">
      <c r="I76" s="28"/>
      <c r="Q76" s="19"/>
    </row>
    <row r="77" ht="15.75" customHeight="1">
      <c r="I77" s="28"/>
      <c r="Q77" s="19"/>
    </row>
    <row r="78" ht="15.75" customHeight="1">
      <c r="I78" s="28"/>
      <c r="Q78" s="19"/>
    </row>
    <row r="79" ht="15.75" customHeight="1">
      <c r="I79" s="28"/>
      <c r="Q79" s="19"/>
    </row>
    <row r="80" ht="15.75" customHeight="1">
      <c r="I80" s="28"/>
      <c r="Q80" s="19"/>
    </row>
    <row r="81" ht="15.75" customHeight="1">
      <c r="I81" s="28"/>
    </row>
    <row r="82" ht="15.75" customHeight="1">
      <c r="I82" s="28"/>
    </row>
    <row r="83" ht="15.75" customHeight="1">
      <c r="I83" s="28"/>
    </row>
    <row r="84" ht="15.75" customHeight="1">
      <c r="I84" s="28"/>
    </row>
    <row r="85" ht="15.75" customHeight="1">
      <c r="I85" s="28"/>
    </row>
    <row r="86" ht="15.75" customHeight="1">
      <c r="I86" s="28"/>
    </row>
    <row r="87" ht="15.75" customHeight="1">
      <c r="I87" s="28"/>
    </row>
    <row r="88" ht="15.75" customHeight="1">
      <c r="I88" s="28"/>
    </row>
    <row r="89" ht="15.75" customHeight="1">
      <c r="I89" s="28"/>
    </row>
    <row r="90" ht="15.75" customHeight="1">
      <c r="I90" s="28"/>
    </row>
    <row r="91" ht="15.75" customHeight="1">
      <c r="I91" s="28"/>
    </row>
    <row r="92" ht="15.75" customHeight="1">
      <c r="I92" s="28"/>
    </row>
    <row r="93" ht="15.75" customHeight="1">
      <c r="I93" s="28"/>
    </row>
    <row r="94" ht="15.75" customHeight="1">
      <c r="I94" s="28"/>
    </row>
    <row r="95" ht="15.75" customHeight="1">
      <c r="I95" s="28"/>
    </row>
    <row r="96" ht="15.75" customHeight="1">
      <c r="I96" s="28"/>
    </row>
    <row r="97" ht="15.75" customHeight="1">
      <c r="I97" s="28"/>
    </row>
    <row r="98" ht="15.75" customHeight="1">
      <c r="I98" s="28"/>
    </row>
    <row r="99" ht="15.75" customHeight="1">
      <c r="I99" s="28"/>
    </row>
    <row r="100" ht="15.75" customHeight="1">
      <c r="I100" s="28"/>
    </row>
    <row r="101" ht="15.75" customHeight="1">
      <c r="I101" s="28"/>
    </row>
    <row r="102" ht="15.75" customHeight="1">
      <c r="I102" s="28"/>
    </row>
    <row r="103" ht="15.75" customHeight="1">
      <c r="I103" s="28"/>
    </row>
    <row r="104" ht="15.75" customHeight="1">
      <c r="I104" s="28"/>
    </row>
    <row r="105" ht="15.75" customHeight="1">
      <c r="I105" s="28"/>
    </row>
    <row r="106" ht="15.75" customHeight="1">
      <c r="I106" s="28"/>
    </row>
    <row r="107" ht="15.75" customHeight="1">
      <c r="I107" s="28"/>
    </row>
    <row r="108" ht="15.75" customHeight="1">
      <c r="I108" s="28"/>
    </row>
    <row r="109" ht="15.75" customHeight="1">
      <c r="I109" s="28"/>
    </row>
    <row r="110" ht="15.75" customHeight="1">
      <c r="I110" s="28"/>
    </row>
    <row r="111" ht="15.75" customHeight="1">
      <c r="I111" s="28"/>
    </row>
    <row r="112" ht="15.75" customHeight="1">
      <c r="I112" s="28"/>
    </row>
    <row r="113" ht="15.75" customHeight="1">
      <c r="I113" s="28"/>
    </row>
    <row r="114" ht="15.75" customHeight="1">
      <c r="I114" s="28"/>
    </row>
    <row r="115" ht="15.75" customHeight="1">
      <c r="I115" s="28"/>
    </row>
    <row r="116" ht="15.75" customHeight="1">
      <c r="I116" s="28"/>
    </row>
    <row r="117" ht="15.75" customHeight="1">
      <c r="I117" s="28"/>
    </row>
    <row r="118" ht="15.75" customHeight="1">
      <c r="I118" s="28"/>
    </row>
    <row r="119" ht="15.75" customHeight="1">
      <c r="I119" s="28"/>
    </row>
    <row r="120" ht="15.75" customHeight="1">
      <c r="I120" s="28"/>
    </row>
    <row r="121" ht="15.75" customHeight="1">
      <c r="I121" s="28"/>
    </row>
    <row r="122" ht="15.75" customHeight="1">
      <c r="I122" s="28"/>
    </row>
    <row r="123" ht="15.75" customHeight="1">
      <c r="I123" s="28"/>
    </row>
    <row r="124" ht="15.75" customHeight="1">
      <c r="I124" s="28"/>
    </row>
    <row r="125" ht="15.75" customHeight="1">
      <c r="I125" s="28"/>
    </row>
    <row r="126" ht="15.75" customHeight="1">
      <c r="I126" s="28"/>
    </row>
    <row r="127" ht="15.75" customHeight="1">
      <c r="I127" s="28"/>
    </row>
    <row r="128" ht="15.75" customHeight="1">
      <c r="I128" s="28"/>
    </row>
    <row r="129" ht="15.75" customHeight="1">
      <c r="I129" s="28"/>
    </row>
    <row r="130" ht="15.75" customHeight="1">
      <c r="I130" s="28"/>
    </row>
    <row r="131" ht="15.75" customHeight="1">
      <c r="I131" s="28"/>
    </row>
    <row r="132" ht="15.75" customHeight="1">
      <c r="I132" s="28"/>
    </row>
    <row r="133" ht="15.75" customHeight="1">
      <c r="I133" s="28"/>
    </row>
    <row r="134" ht="15.75" customHeight="1">
      <c r="I134" s="28"/>
    </row>
    <row r="135" ht="15.75" customHeight="1">
      <c r="I135" s="28"/>
    </row>
    <row r="136" ht="15.75" customHeight="1">
      <c r="I136" s="28"/>
    </row>
    <row r="137" ht="15.75" customHeight="1">
      <c r="I137" s="28"/>
    </row>
    <row r="138" ht="15.75" customHeight="1">
      <c r="I138" s="28"/>
    </row>
    <row r="139" ht="15.75" customHeight="1">
      <c r="I139" s="28"/>
    </row>
    <row r="140" ht="15.75" customHeight="1">
      <c r="I140" s="28"/>
    </row>
    <row r="141" ht="15.75" customHeight="1">
      <c r="I141" s="28"/>
    </row>
    <row r="142" ht="15.75" customHeight="1">
      <c r="I142" s="28"/>
    </row>
    <row r="143" ht="15.75" customHeight="1">
      <c r="I143" s="28"/>
    </row>
    <row r="144" ht="15.75" customHeight="1">
      <c r="I144" s="28"/>
    </row>
    <row r="145" ht="15.75" customHeight="1">
      <c r="I145" s="28"/>
    </row>
    <row r="146" ht="15.75" customHeight="1">
      <c r="I146" s="28"/>
    </row>
    <row r="147" ht="15.75" customHeight="1">
      <c r="I147" s="28"/>
    </row>
    <row r="148" ht="15.75" customHeight="1">
      <c r="I148" s="28"/>
    </row>
    <row r="149" ht="15.75" customHeight="1">
      <c r="I149" s="28"/>
    </row>
    <row r="150" ht="15.75" customHeight="1">
      <c r="I150" s="28"/>
    </row>
    <row r="151" ht="15.75" customHeight="1">
      <c r="I151" s="28"/>
    </row>
    <row r="152" ht="15.75" customHeight="1">
      <c r="I152" s="28"/>
    </row>
    <row r="153" ht="15.75" customHeight="1">
      <c r="I153" s="28"/>
    </row>
    <row r="154" ht="15.75" customHeight="1">
      <c r="I154" s="28"/>
    </row>
    <row r="155" ht="15.75" customHeight="1">
      <c r="I155" s="28"/>
    </row>
    <row r="156" ht="15.75" customHeight="1">
      <c r="I156" s="28"/>
    </row>
    <row r="157" ht="15.75" customHeight="1">
      <c r="I157" s="28"/>
    </row>
    <row r="158" ht="15.75" customHeight="1">
      <c r="I158" s="28"/>
    </row>
    <row r="159" ht="15.75" customHeight="1">
      <c r="I159" s="28"/>
    </row>
    <row r="160" ht="15.75" customHeight="1">
      <c r="I160" s="28"/>
    </row>
    <row r="161" ht="15.75" customHeight="1">
      <c r="I161" s="28"/>
    </row>
    <row r="162" ht="15.75" customHeight="1">
      <c r="I162" s="28"/>
    </row>
    <row r="163" ht="15.75" customHeight="1">
      <c r="I163" s="28"/>
    </row>
    <row r="164" ht="15.75" customHeight="1">
      <c r="I164" s="28"/>
    </row>
    <row r="165" ht="15.75" customHeight="1">
      <c r="I165" s="28"/>
    </row>
    <row r="166" ht="15.75" customHeight="1">
      <c r="I166" s="28"/>
    </row>
    <row r="167" ht="15.75" customHeight="1">
      <c r="I167" s="28"/>
    </row>
    <row r="168" ht="15.75" customHeight="1">
      <c r="I168" s="28"/>
    </row>
    <row r="169" ht="15.75" customHeight="1">
      <c r="I169" s="28"/>
    </row>
    <row r="170" ht="15.75" customHeight="1">
      <c r="I170" s="28"/>
    </row>
    <row r="171" ht="15.75" customHeight="1">
      <c r="I171" s="28"/>
    </row>
    <row r="172" ht="15.75" customHeight="1">
      <c r="I172" s="28"/>
    </row>
    <row r="173" ht="15.75" customHeight="1">
      <c r="I173" s="28"/>
    </row>
    <row r="174" ht="15.75" customHeight="1">
      <c r="I174" s="28"/>
    </row>
    <row r="175" ht="15.75" customHeight="1">
      <c r="I175" s="28"/>
    </row>
    <row r="176" ht="15.75" customHeight="1">
      <c r="I176" s="28"/>
    </row>
    <row r="177" ht="15.75" customHeight="1">
      <c r="I177" s="28"/>
    </row>
    <row r="178" ht="15.75" customHeight="1">
      <c r="I178" s="28"/>
    </row>
    <row r="179" ht="15.75" customHeight="1">
      <c r="I179" s="28"/>
    </row>
    <row r="180" ht="15.75" customHeight="1">
      <c r="I180" s="28"/>
    </row>
    <row r="181" ht="15.75" customHeight="1">
      <c r="I181" s="28"/>
    </row>
    <row r="182" ht="15.75" customHeight="1">
      <c r="I182" s="28"/>
    </row>
    <row r="183" ht="15.75" customHeight="1">
      <c r="I183" s="28"/>
    </row>
    <row r="184" ht="15.75" customHeight="1">
      <c r="I184" s="28"/>
    </row>
    <row r="185" ht="15.75" customHeight="1">
      <c r="I185" s="28"/>
    </row>
    <row r="186" ht="15.75" customHeight="1">
      <c r="I186" s="28"/>
    </row>
    <row r="187" ht="15.75" customHeight="1">
      <c r="I187" s="28"/>
    </row>
    <row r="188" ht="15.75" customHeight="1">
      <c r="I188" s="28"/>
    </row>
    <row r="189" ht="15.75" customHeight="1">
      <c r="I189" s="28"/>
    </row>
    <row r="190" ht="15.75" customHeight="1">
      <c r="I190" s="28"/>
    </row>
    <row r="191" ht="15.75" customHeight="1">
      <c r="I191" s="28"/>
    </row>
    <row r="192" ht="15.75" customHeight="1">
      <c r="I192" s="28"/>
    </row>
    <row r="193" ht="15.75" customHeight="1">
      <c r="I193" s="28"/>
    </row>
    <row r="194" ht="15.75" customHeight="1">
      <c r="I194" s="28"/>
    </row>
    <row r="195" ht="15.75" customHeight="1">
      <c r="I195" s="28"/>
    </row>
    <row r="196" ht="15.75" customHeight="1">
      <c r="I196" s="28"/>
    </row>
    <row r="197" ht="15.75" customHeight="1">
      <c r="I197" s="28"/>
    </row>
    <row r="198" ht="15.75" customHeight="1">
      <c r="I198" s="28"/>
    </row>
    <row r="199" ht="15.75" customHeight="1">
      <c r="I199" s="28"/>
    </row>
    <row r="200" ht="15.75" customHeight="1">
      <c r="I200" s="28"/>
    </row>
    <row r="201" ht="15.75" customHeight="1">
      <c r="I201" s="28"/>
    </row>
    <row r="202" ht="15.75" customHeight="1">
      <c r="I202" s="28"/>
    </row>
    <row r="203" ht="15.75" customHeight="1">
      <c r="I203" s="28"/>
    </row>
    <row r="204" ht="15.75" customHeight="1">
      <c r="I204" s="28"/>
    </row>
    <row r="205" ht="15.75" customHeight="1">
      <c r="I205" s="28"/>
    </row>
    <row r="206" ht="15.75" customHeight="1">
      <c r="I206" s="28"/>
    </row>
    <row r="207" ht="15.75" customHeight="1">
      <c r="I207" s="28"/>
    </row>
    <row r="208" ht="15.75" customHeight="1">
      <c r="I208" s="28"/>
    </row>
    <row r="209" ht="15.75" customHeight="1">
      <c r="I209" s="28"/>
    </row>
    <row r="210" ht="15.75" customHeight="1">
      <c r="I210" s="28"/>
    </row>
    <row r="211" ht="15.75" customHeight="1">
      <c r="I211" s="28"/>
    </row>
    <row r="212" ht="15.75" customHeight="1">
      <c r="I212" s="28"/>
    </row>
    <row r="213" ht="15.75" customHeight="1">
      <c r="I213" s="28"/>
    </row>
    <row r="214" ht="15.75" customHeight="1">
      <c r="I214" s="28"/>
    </row>
    <row r="215" ht="15.75" customHeight="1">
      <c r="I215" s="28"/>
    </row>
    <row r="216" ht="15.75" customHeight="1">
      <c r="I216" s="28"/>
    </row>
    <row r="217" ht="15.75" customHeight="1">
      <c r="I217" s="28"/>
    </row>
    <row r="218" ht="15.75" customHeight="1">
      <c r="I218" s="28"/>
    </row>
    <row r="219" ht="15.75" customHeight="1">
      <c r="I219" s="28"/>
    </row>
    <row r="220" ht="15.75" customHeight="1">
      <c r="I220" s="28"/>
    </row>
    <row r="221" ht="15.75" customHeight="1">
      <c r="I221" s="28"/>
    </row>
    <row r="222" ht="15.75" customHeight="1">
      <c r="I222" s="28"/>
    </row>
    <row r="223" ht="15.75" customHeight="1">
      <c r="I223" s="28"/>
    </row>
    <row r="224" ht="15.75" customHeight="1">
      <c r="I224" s="28"/>
    </row>
    <row r="225" ht="15.75" customHeight="1">
      <c r="I225" s="28"/>
    </row>
    <row r="226" ht="15.75" customHeight="1">
      <c r="I226" s="28"/>
    </row>
    <row r="227" ht="15.75" customHeight="1">
      <c r="I227" s="28"/>
    </row>
    <row r="228" ht="15.75" customHeight="1">
      <c r="I228" s="28"/>
    </row>
    <row r="229" ht="15.75" customHeight="1">
      <c r="I229" s="28"/>
    </row>
    <row r="230" ht="15.75" customHeight="1">
      <c r="I230" s="28"/>
    </row>
    <row r="231" ht="15.75" customHeight="1">
      <c r="I231" s="28"/>
    </row>
    <row r="232" ht="15.75" customHeight="1">
      <c r="I232" s="28"/>
    </row>
    <row r="233" ht="15.75" customHeight="1">
      <c r="I233" s="28"/>
    </row>
    <row r="234" ht="15.75" customHeight="1">
      <c r="I234" s="28"/>
    </row>
    <row r="235" ht="15.75" customHeight="1">
      <c r="I235" s="28"/>
    </row>
    <row r="236" ht="15.75" customHeight="1">
      <c r="I236" s="28"/>
    </row>
    <row r="237" ht="15.75" customHeight="1">
      <c r="I237" s="28"/>
    </row>
    <row r="238" ht="15.75" customHeight="1">
      <c r="I238" s="28"/>
    </row>
    <row r="239" ht="15.75" customHeight="1">
      <c r="I239" s="28"/>
    </row>
    <row r="240" ht="15.75" customHeight="1">
      <c r="I240" s="28"/>
    </row>
    <row r="241" ht="15.75" customHeight="1">
      <c r="I241" s="28"/>
    </row>
    <row r="242" ht="15.75" customHeight="1">
      <c r="I242" s="28"/>
    </row>
    <row r="243" ht="15.75" customHeight="1">
      <c r="I243" s="28"/>
    </row>
    <row r="244" ht="15.75" customHeight="1">
      <c r="I244" s="28"/>
    </row>
    <row r="245" ht="15.75" customHeight="1">
      <c r="I245" s="28"/>
    </row>
    <row r="246" ht="15.75" customHeight="1">
      <c r="I246" s="28"/>
    </row>
    <row r="247" ht="15.75" customHeight="1">
      <c r="I247" s="28"/>
    </row>
    <row r="248" ht="15.75" customHeight="1">
      <c r="I248" s="28"/>
    </row>
    <row r="249" ht="15.75" customHeight="1">
      <c r="I249" s="28"/>
    </row>
    <row r="250" ht="15.75" customHeight="1">
      <c r="I250" s="28"/>
    </row>
    <row r="251" ht="15.75" customHeight="1">
      <c r="I251" s="28"/>
    </row>
    <row r="252" ht="15.75" customHeight="1">
      <c r="I252" s="28"/>
    </row>
    <row r="253" ht="15.75" customHeight="1">
      <c r="I253" s="28"/>
    </row>
    <row r="254" ht="15.75" customHeight="1">
      <c r="I254" s="28"/>
    </row>
    <row r="255" ht="15.75" customHeight="1">
      <c r="I255" s="28"/>
    </row>
    <row r="256" ht="15.75" customHeight="1">
      <c r="I256" s="28"/>
    </row>
    <row r="257" ht="15.75" customHeight="1">
      <c r="I257" s="28"/>
    </row>
    <row r="258" ht="15.75" customHeight="1">
      <c r="I258" s="28"/>
    </row>
    <row r="259" ht="15.75" customHeight="1">
      <c r="I259" s="28"/>
    </row>
    <row r="260" ht="15.75" customHeight="1">
      <c r="I260" s="28"/>
    </row>
    <row r="261" ht="15.75" customHeight="1">
      <c r="I261" s="28"/>
    </row>
    <row r="262" ht="15.75" customHeight="1">
      <c r="I262" s="28"/>
    </row>
    <row r="263" ht="15.75" customHeight="1">
      <c r="I263" s="28"/>
    </row>
    <row r="264" ht="15.75" customHeight="1">
      <c r="I264" s="28"/>
    </row>
    <row r="265" ht="15.75" customHeight="1">
      <c r="I265" s="28"/>
    </row>
    <row r="266" ht="15.75" customHeight="1">
      <c r="I266" s="28"/>
    </row>
    <row r="267" ht="15.75" customHeight="1">
      <c r="I267" s="28"/>
    </row>
    <row r="268" ht="15.75" customHeight="1">
      <c r="I268" s="28"/>
    </row>
    <row r="269" ht="15.75" customHeight="1">
      <c r="I269" s="28"/>
    </row>
    <row r="270" ht="15.75" customHeight="1">
      <c r="I270" s="28"/>
    </row>
    <row r="271" ht="15.75" customHeight="1">
      <c r="I271" s="28"/>
    </row>
    <row r="272" ht="15.75" customHeight="1">
      <c r="I272" s="28"/>
    </row>
    <row r="273" ht="15.75" customHeight="1">
      <c r="I273" s="28"/>
    </row>
    <row r="274" ht="15.75" customHeight="1">
      <c r="I274" s="28"/>
    </row>
    <row r="275" ht="15.75" customHeight="1">
      <c r="I275" s="28"/>
    </row>
    <row r="276" ht="15.75" customHeight="1">
      <c r="I276" s="28"/>
    </row>
    <row r="277" ht="15.75" customHeight="1">
      <c r="I277" s="28"/>
    </row>
    <row r="278" ht="15.75" customHeight="1">
      <c r="I278" s="28"/>
    </row>
    <row r="279" ht="15.75" customHeight="1">
      <c r="I279" s="28"/>
    </row>
    <row r="280" ht="15.75" customHeight="1">
      <c r="I280" s="28"/>
    </row>
    <row r="281" ht="15.75" customHeight="1">
      <c r="I281" s="28"/>
    </row>
    <row r="282" ht="15.75" customHeight="1">
      <c r="I282" s="28"/>
    </row>
    <row r="283" ht="15.75" customHeight="1">
      <c r="I283" s="28"/>
    </row>
    <row r="284" ht="15.75" customHeight="1">
      <c r="I284" s="28"/>
    </row>
    <row r="285" ht="15.75" customHeight="1">
      <c r="I285" s="28"/>
    </row>
    <row r="286" ht="15.75" customHeight="1">
      <c r="I286" s="28"/>
    </row>
    <row r="287" ht="15.75" customHeight="1">
      <c r="I287" s="28"/>
    </row>
    <row r="288" ht="15.75" customHeight="1">
      <c r="I288" s="28"/>
    </row>
    <row r="289" ht="15.75" customHeight="1">
      <c r="I289" s="28"/>
    </row>
    <row r="290" ht="15.75" customHeight="1">
      <c r="I290" s="28"/>
    </row>
    <row r="291" ht="15.75" customHeight="1">
      <c r="I291" s="28"/>
    </row>
    <row r="292" ht="15.75" customHeight="1">
      <c r="I292" s="28"/>
    </row>
    <row r="293" ht="15.75" customHeight="1">
      <c r="I293" s="28"/>
    </row>
    <row r="294" ht="15.75" customHeight="1">
      <c r="I294" s="28"/>
    </row>
    <row r="295" ht="15.75" customHeight="1">
      <c r="I295" s="28"/>
    </row>
    <row r="296" ht="15.75" customHeight="1">
      <c r="I296" s="28"/>
    </row>
    <row r="297" ht="15.75" customHeight="1">
      <c r="I297" s="28"/>
    </row>
    <row r="298" ht="15.75" customHeight="1">
      <c r="I298" s="28"/>
    </row>
    <row r="299" ht="15.75" customHeight="1">
      <c r="I299" s="28"/>
    </row>
    <row r="300" ht="15.75" customHeight="1">
      <c r="I300" s="28"/>
    </row>
    <row r="301" ht="15.75" customHeight="1">
      <c r="I301" s="28"/>
    </row>
    <row r="302" ht="15.75" customHeight="1">
      <c r="I302" s="28"/>
    </row>
    <row r="303" ht="15.75" customHeight="1">
      <c r="I303" s="28"/>
    </row>
    <row r="304" ht="15.75" customHeight="1">
      <c r="I304" s="28"/>
    </row>
    <row r="305" ht="15.75" customHeight="1">
      <c r="I305" s="28"/>
    </row>
    <row r="306" ht="15.75" customHeight="1">
      <c r="I306" s="28"/>
    </row>
    <row r="307" ht="15.75" customHeight="1">
      <c r="I307" s="28"/>
    </row>
    <row r="308" ht="15.75" customHeight="1">
      <c r="I308" s="28"/>
    </row>
    <row r="309" ht="15.75" customHeight="1">
      <c r="I309" s="28"/>
    </row>
    <row r="310" ht="15.75" customHeight="1">
      <c r="I310" s="28"/>
    </row>
    <row r="311" ht="15.75" customHeight="1">
      <c r="I311" s="28"/>
    </row>
    <row r="312" ht="15.75" customHeight="1">
      <c r="I312" s="28"/>
    </row>
    <row r="313" ht="15.75" customHeight="1">
      <c r="I313" s="28"/>
    </row>
    <row r="314" ht="15.75" customHeight="1">
      <c r="I314" s="28"/>
    </row>
    <row r="315" ht="15.75" customHeight="1">
      <c r="I315" s="28"/>
    </row>
    <row r="316" ht="15.75" customHeight="1">
      <c r="I316" s="28"/>
    </row>
    <row r="317" ht="15.75" customHeight="1">
      <c r="I317" s="28"/>
    </row>
    <row r="318" ht="15.75" customHeight="1">
      <c r="I318" s="28"/>
    </row>
    <row r="319" ht="15.75" customHeight="1">
      <c r="I319" s="28"/>
    </row>
    <row r="320" ht="15.75" customHeight="1">
      <c r="I320" s="28"/>
    </row>
    <row r="321" ht="15.75" customHeight="1">
      <c r="I321" s="28"/>
    </row>
    <row r="322" ht="15.75" customHeight="1">
      <c r="I322" s="28"/>
    </row>
    <row r="323" ht="15.75" customHeight="1">
      <c r="I323" s="28"/>
    </row>
    <row r="324" ht="15.75" customHeight="1">
      <c r="I324" s="28"/>
    </row>
    <row r="325" ht="15.75" customHeight="1">
      <c r="I325" s="28"/>
    </row>
    <row r="326" ht="15.75" customHeight="1">
      <c r="I326" s="28"/>
    </row>
    <row r="327" ht="15.75" customHeight="1">
      <c r="I327" s="28"/>
    </row>
    <row r="328" ht="15.75" customHeight="1">
      <c r="I328" s="28"/>
    </row>
    <row r="329" ht="15.75" customHeight="1">
      <c r="I329" s="28"/>
    </row>
    <row r="330" ht="15.75" customHeight="1">
      <c r="I330" s="28"/>
    </row>
    <row r="331" ht="15.75" customHeight="1">
      <c r="I331" s="28"/>
    </row>
    <row r="332" ht="15.75" customHeight="1">
      <c r="I332" s="28"/>
    </row>
    <row r="333" ht="15.75" customHeight="1">
      <c r="I333" s="28"/>
    </row>
    <row r="334" ht="15.75" customHeight="1">
      <c r="I334" s="28"/>
    </row>
    <row r="335" ht="15.75" customHeight="1">
      <c r="I335" s="28"/>
    </row>
    <row r="336" ht="15.75" customHeight="1">
      <c r="I336" s="28"/>
    </row>
    <row r="337" ht="15.75" customHeight="1">
      <c r="I337" s="28"/>
    </row>
    <row r="338" ht="15.75" customHeight="1">
      <c r="I338" s="28"/>
    </row>
    <row r="339" ht="15.75" customHeight="1">
      <c r="I339" s="28"/>
    </row>
    <row r="340" ht="15.75" customHeight="1">
      <c r="I340" s="28"/>
    </row>
    <row r="341" ht="15.75" customHeight="1">
      <c r="I341" s="28"/>
    </row>
    <row r="342" ht="15.75" customHeight="1">
      <c r="I342" s="28"/>
    </row>
    <row r="343" ht="15.75" customHeight="1">
      <c r="I343" s="28"/>
    </row>
    <row r="344" ht="15.75" customHeight="1">
      <c r="I344" s="28"/>
    </row>
    <row r="345" ht="15.75" customHeight="1">
      <c r="I345" s="28"/>
    </row>
    <row r="346" ht="15.75" customHeight="1">
      <c r="I346" s="28"/>
    </row>
    <row r="347" ht="15.75" customHeight="1">
      <c r="I347" s="28"/>
    </row>
    <row r="348" ht="15.75" customHeight="1">
      <c r="I348" s="28"/>
    </row>
    <row r="349" ht="15.75" customHeight="1">
      <c r="I349" s="28"/>
    </row>
    <row r="350" ht="15.75" customHeight="1">
      <c r="I350" s="28"/>
    </row>
    <row r="351" ht="15.75" customHeight="1">
      <c r="I351" s="28"/>
    </row>
    <row r="352" ht="15.75" customHeight="1">
      <c r="I352" s="28"/>
    </row>
    <row r="353" ht="15.75" customHeight="1">
      <c r="I353" s="28"/>
    </row>
    <row r="354" ht="15.75" customHeight="1">
      <c r="I354" s="28"/>
    </row>
    <row r="355" ht="15.75" customHeight="1">
      <c r="I355" s="28"/>
    </row>
    <row r="356" ht="15.75" customHeight="1">
      <c r="I356" s="28"/>
    </row>
    <row r="357" ht="15.75" customHeight="1">
      <c r="I357" s="28"/>
    </row>
    <row r="358" ht="15.75" customHeight="1">
      <c r="I358" s="28"/>
    </row>
    <row r="359" ht="15.75" customHeight="1">
      <c r="I359" s="28"/>
    </row>
    <row r="360" ht="15.75" customHeight="1">
      <c r="I360" s="28"/>
    </row>
    <row r="361" ht="15.75" customHeight="1">
      <c r="I361" s="28"/>
    </row>
    <row r="362" ht="15.75" customHeight="1">
      <c r="I362" s="28"/>
    </row>
    <row r="363" ht="15.75" customHeight="1">
      <c r="I363" s="28"/>
    </row>
    <row r="364" ht="15.75" customHeight="1">
      <c r="I364" s="28"/>
    </row>
    <row r="365" ht="15.75" customHeight="1">
      <c r="I365" s="28"/>
    </row>
    <row r="366" ht="15.75" customHeight="1">
      <c r="I366" s="28"/>
    </row>
    <row r="367" ht="15.75" customHeight="1">
      <c r="I367" s="28"/>
    </row>
    <row r="368" ht="15.75" customHeight="1">
      <c r="I368" s="28"/>
    </row>
    <row r="369" ht="15.75" customHeight="1">
      <c r="I369" s="28"/>
    </row>
    <row r="370" ht="15.75" customHeight="1">
      <c r="I370" s="28"/>
    </row>
    <row r="371" ht="15.75" customHeight="1">
      <c r="I371" s="28"/>
    </row>
    <row r="372" ht="15.75" customHeight="1">
      <c r="I372" s="28"/>
    </row>
    <row r="373" ht="15.75" customHeight="1">
      <c r="I373" s="28"/>
    </row>
    <row r="374" ht="15.75" customHeight="1">
      <c r="I374" s="28"/>
    </row>
    <row r="375" ht="15.75" customHeight="1">
      <c r="I375" s="28"/>
    </row>
    <row r="376" ht="15.75" customHeight="1">
      <c r="I376" s="28"/>
    </row>
    <row r="377" ht="15.75" customHeight="1">
      <c r="I377" s="28"/>
    </row>
    <row r="378" ht="15.75" customHeight="1">
      <c r="I378" s="28"/>
    </row>
    <row r="379" ht="15.75" customHeight="1">
      <c r="I379" s="28"/>
    </row>
    <row r="380" ht="15.75" customHeight="1">
      <c r="I380" s="28"/>
    </row>
    <row r="381" ht="15.75" customHeight="1">
      <c r="I381" s="28"/>
    </row>
    <row r="382" ht="15.75" customHeight="1">
      <c r="I382" s="28"/>
    </row>
    <row r="383" ht="15.75" customHeight="1">
      <c r="I383" s="28"/>
    </row>
    <row r="384" ht="15.75" customHeight="1">
      <c r="I384" s="28"/>
    </row>
    <row r="385" ht="15.75" customHeight="1">
      <c r="I385" s="28"/>
    </row>
    <row r="386" ht="15.75" customHeight="1">
      <c r="I386" s="28"/>
    </row>
    <row r="387" ht="15.75" customHeight="1">
      <c r="I387" s="28"/>
    </row>
    <row r="388" ht="15.75" customHeight="1">
      <c r="I388" s="28"/>
    </row>
    <row r="389" ht="15.75" customHeight="1">
      <c r="I389" s="28"/>
    </row>
    <row r="390" ht="15.75" customHeight="1">
      <c r="I390" s="28"/>
    </row>
    <row r="391" ht="15.75" customHeight="1">
      <c r="I391" s="28"/>
    </row>
    <row r="392" ht="15.75" customHeight="1">
      <c r="I392" s="28"/>
    </row>
    <row r="393" ht="15.75" customHeight="1">
      <c r="I393" s="28"/>
    </row>
    <row r="394" ht="15.75" customHeight="1">
      <c r="I394" s="28"/>
    </row>
    <row r="395" ht="15.75" customHeight="1">
      <c r="I395" s="28"/>
    </row>
    <row r="396" ht="15.75" customHeight="1">
      <c r="I396" s="28"/>
    </row>
    <row r="397" ht="15.75" customHeight="1">
      <c r="I397" s="28"/>
    </row>
    <row r="398" ht="15.75" customHeight="1">
      <c r="I398" s="28"/>
    </row>
    <row r="399" ht="15.75" customHeight="1">
      <c r="I399" s="28"/>
    </row>
    <row r="400" ht="15.75" customHeight="1">
      <c r="I400" s="28"/>
    </row>
    <row r="401" ht="15.75" customHeight="1">
      <c r="I401" s="28"/>
    </row>
    <row r="402" ht="15.75" customHeight="1">
      <c r="I402" s="28"/>
    </row>
    <row r="403" ht="15.75" customHeight="1">
      <c r="I403" s="28"/>
    </row>
    <row r="404" ht="15.75" customHeight="1">
      <c r="I404" s="28"/>
    </row>
    <row r="405" ht="15.75" customHeight="1">
      <c r="I405" s="28"/>
    </row>
    <row r="406" ht="15.75" customHeight="1">
      <c r="I406" s="28"/>
    </row>
    <row r="407" ht="15.75" customHeight="1">
      <c r="I407" s="28"/>
    </row>
    <row r="408" ht="15.75" customHeight="1">
      <c r="I408" s="28"/>
    </row>
    <row r="409" ht="15.75" customHeight="1">
      <c r="I409" s="28"/>
    </row>
    <row r="410" ht="15.75" customHeight="1">
      <c r="I410" s="28"/>
    </row>
    <row r="411" ht="15.75" customHeight="1">
      <c r="I411" s="28"/>
    </row>
    <row r="412" ht="15.75" customHeight="1">
      <c r="I412" s="28"/>
    </row>
    <row r="413" ht="15.75" customHeight="1">
      <c r="I413" s="28"/>
    </row>
    <row r="414" ht="15.75" customHeight="1">
      <c r="I414" s="28"/>
    </row>
    <row r="415" ht="15.75" customHeight="1">
      <c r="I415" s="28"/>
    </row>
    <row r="416" ht="15.75" customHeight="1">
      <c r="I416" s="28"/>
    </row>
    <row r="417" ht="15.75" customHeight="1">
      <c r="I417" s="28"/>
    </row>
    <row r="418" ht="15.75" customHeight="1">
      <c r="I418" s="28"/>
    </row>
    <row r="419" ht="15.75" customHeight="1">
      <c r="I419" s="28"/>
    </row>
    <row r="420" ht="15.75" customHeight="1">
      <c r="I420" s="28"/>
    </row>
    <row r="421" ht="15.75" customHeight="1">
      <c r="I421" s="28"/>
    </row>
    <row r="422" ht="15.75" customHeight="1">
      <c r="I422" s="28"/>
    </row>
    <row r="423" ht="15.75" customHeight="1">
      <c r="I423" s="28"/>
    </row>
    <row r="424" ht="15.75" customHeight="1">
      <c r="I424" s="28"/>
    </row>
    <row r="425" ht="15.75" customHeight="1">
      <c r="I425" s="28"/>
    </row>
    <row r="426" ht="15.75" customHeight="1">
      <c r="I426" s="28"/>
    </row>
    <row r="427" ht="15.75" customHeight="1">
      <c r="I427" s="28"/>
    </row>
    <row r="428" ht="15.75" customHeight="1">
      <c r="I428" s="28"/>
    </row>
    <row r="429" ht="15.75" customHeight="1">
      <c r="I429" s="28"/>
    </row>
    <row r="430" ht="15.75" customHeight="1">
      <c r="I430" s="28"/>
    </row>
    <row r="431" ht="15.75" customHeight="1">
      <c r="I431" s="28"/>
    </row>
    <row r="432" ht="15.75" customHeight="1">
      <c r="I432" s="28"/>
    </row>
    <row r="433" ht="15.75" customHeight="1">
      <c r="I433" s="28"/>
    </row>
    <row r="434" ht="15.75" customHeight="1">
      <c r="I434" s="28"/>
    </row>
    <row r="435" ht="15.75" customHeight="1">
      <c r="I435" s="28"/>
    </row>
    <row r="436" ht="15.75" customHeight="1">
      <c r="I436" s="28"/>
    </row>
    <row r="437" ht="15.75" customHeight="1">
      <c r="I437" s="28"/>
    </row>
    <row r="438" ht="15.75" customHeight="1">
      <c r="I438" s="28"/>
    </row>
    <row r="439" ht="15.75" customHeight="1">
      <c r="I439" s="28"/>
    </row>
    <row r="440" ht="15.75" customHeight="1">
      <c r="I440" s="28"/>
    </row>
    <row r="441" ht="15.75" customHeight="1">
      <c r="I441" s="28"/>
    </row>
    <row r="442" ht="15.75" customHeight="1">
      <c r="I442" s="28"/>
    </row>
    <row r="443" ht="15.75" customHeight="1">
      <c r="I443" s="28"/>
    </row>
    <row r="444" ht="15.75" customHeight="1">
      <c r="I444" s="28"/>
    </row>
    <row r="445" ht="15.75" customHeight="1">
      <c r="I445" s="28"/>
    </row>
    <row r="446" ht="15.75" customHeight="1">
      <c r="I446" s="28"/>
    </row>
    <row r="447" ht="15.75" customHeight="1">
      <c r="I447" s="28"/>
    </row>
    <row r="448" ht="15.75" customHeight="1">
      <c r="I448" s="28"/>
    </row>
    <row r="449" ht="15.75" customHeight="1">
      <c r="I449" s="28"/>
    </row>
    <row r="450" ht="15.75" customHeight="1">
      <c r="I450" s="28"/>
    </row>
    <row r="451" ht="15.75" customHeight="1">
      <c r="I451" s="28"/>
    </row>
    <row r="452" ht="15.75" customHeight="1">
      <c r="I452" s="28"/>
    </row>
    <row r="453" ht="15.75" customHeight="1">
      <c r="I453" s="28"/>
    </row>
    <row r="454" ht="15.75" customHeight="1">
      <c r="I454" s="28"/>
    </row>
    <row r="455" ht="15.75" customHeight="1">
      <c r="I455" s="28"/>
    </row>
    <row r="456" ht="15.75" customHeight="1">
      <c r="I456" s="28"/>
    </row>
    <row r="457" ht="15.75" customHeight="1">
      <c r="I457" s="28"/>
    </row>
    <row r="458" ht="15.75" customHeight="1">
      <c r="I458" s="28"/>
    </row>
    <row r="459" ht="15.75" customHeight="1">
      <c r="I459" s="28"/>
    </row>
    <row r="460" ht="15.75" customHeight="1">
      <c r="I460" s="28"/>
    </row>
    <row r="461" ht="15.75" customHeight="1">
      <c r="I461" s="28"/>
    </row>
    <row r="462" ht="15.75" customHeight="1">
      <c r="I462" s="28"/>
    </row>
    <row r="463" ht="15.75" customHeight="1">
      <c r="I463" s="28"/>
    </row>
    <row r="464" ht="15.75" customHeight="1">
      <c r="I464" s="28"/>
    </row>
    <row r="465" ht="15.75" customHeight="1">
      <c r="I465" s="28"/>
    </row>
    <row r="466" ht="15.75" customHeight="1">
      <c r="I466" s="28"/>
    </row>
    <row r="467" ht="15.75" customHeight="1">
      <c r="I467" s="28"/>
    </row>
    <row r="468" ht="15.75" customHeight="1">
      <c r="I468" s="28"/>
    </row>
    <row r="469" ht="15.75" customHeight="1">
      <c r="I469" s="28"/>
    </row>
    <row r="470" ht="15.75" customHeight="1">
      <c r="I470" s="28"/>
    </row>
    <row r="471" ht="15.75" customHeight="1">
      <c r="I471" s="28"/>
    </row>
    <row r="472" ht="15.75" customHeight="1">
      <c r="I472" s="28"/>
    </row>
    <row r="473" ht="15.75" customHeight="1">
      <c r="I473" s="28"/>
    </row>
    <row r="474" ht="15.75" customHeight="1">
      <c r="I474" s="28"/>
    </row>
    <row r="475" ht="15.75" customHeight="1">
      <c r="I475" s="28"/>
    </row>
    <row r="476" ht="15.75" customHeight="1">
      <c r="I476" s="28"/>
    </row>
    <row r="477" ht="15.75" customHeight="1">
      <c r="I477" s="28"/>
    </row>
    <row r="478" ht="15.75" customHeight="1">
      <c r="I478" s="28"/>
    </row>
    <row r="479" ht="15.75" customHeight="1">
      <c r="I479" s="28"/>
    </row>
    <row r="480" ht="15.75" customHeight="1">
      <c r="I480" s="28"/>
    </row>
    <row r="481" ht="15.75" customHeight="1">
      <c r="I481" s="28"/>
    </row>
    <row r="482" ht="15.75" customHeight="1">
      <c r="I482" s="28"/>
    </row>
    <row r="483" ht="15.75" customHeight="1">
      <c r="I483" s="28"/>
    </row>
    <row r="484" ht="15.75" customHeight="1">
      <c r="I484" s="28"/>
    </row>
    <row r="485" ht="15.75" customHeight="1">
      <c r="I485" s="28"/>
    </row>
    <row r="486" ht="15.75" customHeight="1">
      <c r="I486" s="28"/>
    </row>
    <row r="487" ht="15.75" customHeight="1">
      <c r="I487" s="28"/>
    </row>
    <row r="488" ht="15.75" customHeight="1">
      <c r="I488" s="28"/>
    </row>
    <row r="489" ht="15.75" customHeight="1">
      <c r="I489" s="28"/>
    </row>
    <row r="490" ht="15.75" customHeight="1">
      <c r="I490" s="28"/>
    </row>
    <row r="491" ht="15.75" customHeight="1">
      <c r="I491" s="28"/>
    </row>
    <row r="492" ht="15.75" customHeight="1">
      <c r="I492" s="28"/>
    </row>
    <row r="493" ht="15.75" customHeight="1">
      <c r="I493" s="28"/>
    </row>
    <row r="494" ht="15.75" customHeight="1">
      <c r="I494" s="28"/>
    </row>
    <row r="495" ht="15.75" customHeight="1">
      <c r="I495" s="28"/>
    </row>
    <row r="496" ht="15.75" customHeight="1">
      <c r="I496" s="28"/>
    </row>
    <row r="497" ht="15.75" customHeight="1">
      <c r="I497" s="28"/>
    </row>
    <row r="498" ht="15.75" customHeight="1">
      <c r="I498" s="28"/>
    </row>
    <row r="499" ht="15.75" customHeight="1">
      <c r="I499" s="28"/>
    </row>
    <row r="500" ht="15.75" customHeight="1">
      <c r="I500" s="28"/>
    </row>
    <row r="501" ht="15.75" customHeight="1">
      <c r="I501" s="28"/>
    </row>
    <row r="502" ht="15.75" customHeight="1">
      <c r="I502" s="28"/>
    </row>
    <row r="503" ht="15.75" customHeight="1">
      <c r="I503" s="28"/>
    </row>
    <row r="504" ht="15.75" customHeight="1">
      <c r="I504" s="28"/>
    </row>
    <row r="505" ht="15.75" customHeight="1">
      <c r="I505" s="28"/>
    </row>
    <row r="506" ht="15.75" customHeight="1">
      <c r="I506" s="28"/>
    </row>
    <row r="507" ht="15.75" customHeight="1">
      <c r="I507" s="28"/>
    </row>
    <row r="508" ht="15.75" customHeight="1">
      <c r="I508" s="28"/>
    </row>
    <row r="509" ht="15.75" customHeight="1">
      <c r="I509" s="28"/>
    </row>
    <row r="510" ht="15.75" customHeight="1">
      <c r="I510" s="28"/>
    </row>
    <row r="511" ht="15.75" customHeight="1">
      <c r="I511" s="28"/>
    </row>
    <row r="512" ht="15.75" customHeight="1">
      <c r="I512" s="28"/>
    </row>
    <row r="513" ht="15.75" customHeight="1">
      <c r="I513" s="28"/>
    </row>
    <row r="514" ht="15.75" customHeight="1">
      <c r="I514" s="28"/>
    </row>
    <row r="515" ht="15.75" customHeight="1">
      <c r="I515" s="28"/>
    </row>
    <row r="516" ht="15.75" customHeight="1">
      <c r="I516" s="28"/>
    </row>
    <row r="517" ht="15.75" customHeight="1">
      <c r="I517" s="28"/>
    </row>
    <row r="518" ht="15.75" customHeight="1">
      <c r="I518" s="28"/>
    </row>
    <row r="519" ht="15.75" customHeight="1">
      <c r="I519" s="28"/>
    </row>
    <row r="520" ht="15.75" customHeight="1">
      <c r="I520" s="28"/>
    </row>
    <row r="521" ht="15.75" customHeight="1">
      <c r="I521" s="28"/>
    </row>
    <row r="522" ht="15.75" customHeight="1">
      <c r="I522" s="28"/>
    </row>
    <row r="523" ht="15.75" customHeight="1">
      <c r="I523" s="28"/>
    </row>
    <row r="524" ht="15.75" customHeight="1">
      <c r="I524" s="28"/>
    </row>
    <row r="525" ht="15.75" customHeight="1">
      <c r="I525" s="28"/>
    </row>
    <row r="526" ht="15.75" customHeight="1">
      <c r="I526" s="28"/>
    </row>
    <row r="527" ht="15.75" customHeight="1">
      <c r="I527" s="28"/>
    </row>
    <row r="528" ht="15.75" customHeight="1">
      <c r="I528" s="28"/>
    </row>
    <row r="529" ht="15.75" customHeight="1">
      <c r="I529" s="28"/>
    </row>
    <row r="530" ht="15.75" customHeight="1">
      <c r="I530" s="28"/>
    </row>
    <row r="531" ht="15.75" customHeight="1">
      <c r="I531" s="28"/>
    </row>
    <row r="532" ht="15.75" customHeight="1">
      <c r="I532" s="28"/>
    </row>
    <row r="533" ht="15.75" customHeight="1">
      <c r="I533" s="28"/>
    </row>
    <row r="534" ht="15.75" customHeight="1">
      <c r="I534" s="28"/>
    </row>
    <row r="535" ht="15.75" customHeight="1">
      <c r="I535" s="28"/>
    </row>
    <row r="536" ht="15.75" customHeight="1">
      <c r="I536" s="28"/>
    </row>
    <row r="537" ht="15.75" customHeight="1">
      <c r="I537" s="28"/>
    </row>
    <row r="538" ht="15.75" customHeight="1">
      <c r="I538" s="28"/>
    </row>
    <row r="539" ht="15.75" customHeight="1">
      <c r="I539" s="28"/>
    </row>
    <row r="540" ht="15.75" customHeight="1">
      <c r="I540" s="28"/>
    </row>
    <row r="541" ht="15.75" customHeight="1">
      <c r="I541" s="28"/>
    </row>
    <row r="542" ht="15.75" customHeight="1">
      <c r="I542" s="28"/>
    </row>
    <row r="543" ht="15.75" customHeight="1">
      <c r="I543" s="28"/>
    </row>
    <row r="544" ht="15.75" customHeight="1">
      <c r="I544" s="28"/>
    </row>
    <row r="545" ht="15.75" customHeight="1">
      <c r="I545" s="28"/>
    </row>
    <row r="546" ht="15.75" customHeight="1">
      <c r="I546" s="28"/>
    </row>
    <row r="547" ht="15.75" customHeight="1">
      <c r="I547" s="28"/>
    </row>
    <row r="548" ht="15.75" customHeight="1">
      <c r="I548" s="28"/>
    </row>
    <row r="549" ht="15.75" customHeight="1">
      <c r="I549" s="28"/>
    </row>
    <row r="550" ht="15.75" customHeight="1">
      <c r="I550" s="28"/>
    </row>
    <row r="551" ht="15.75" customHeight="1">
      <c r="I551" s="28"/>
    </row>
    <row r="552" ht="15.75" customHeight="1">
      <c r="I552" s="28"/>
    </row>
    <row r="553" ht="15.75" customHeight="1">
      <c r="I553" s="28"/>
    </row>
    <row r="554" ht="15.75" customHeight="1">
      <c r="I554" s="28"/>
    </row>
    <row r="555" ht="15.75" customHeight="1">
      <c r="I555" s="28"/>
    </row>
    <row r="556" ht="15.75" customHeight="1">
      <c r="I556" s="28"/>
    </row>
    <row r="557" ht="15.75" customHeight="1">
      <c r="I557" s="28"/>
    </row>
    <row r="558" ht="15.75" customHeight="1">
      <c r="I558" s="28"/>
    </row>
    <row r="559" ht="15.75" customHeight="1">
      <c r="I559" s="28"/>
    </row>
    <row r="560" ht="15.75" customHeight="1">
      <c r="I560" s="28"/>
    </row>
    <row r="561" ht="15.75" customHeight="1">
      <c r="I561" s="28"/>
    </row>
    <row r="562" ht="15.75" customHeight="1">
      <c r="I562" s="28"/>
    </row>
    <row r="563" ht="15.75" customHeight="1">
      <c r="I563" s="28"/>
    </row>
    <row r="564" ht="15.75" customHeight="1">
      <c r="I564" s="28"/>
    </row>
    <row r="565" ht="15.75" customHeight="1">
      <c r="I565" s="28"/>
    </row>
    <row r="566" ht="15.75" customHeight="1">
      <c r="I566" s="28"/>
    </row>
    <row r="567" ht="15.75" customHeight="1">
      <c r="I567" s="28"/>
    </row>
    <row r="568" ht="15.75" customHeight="1">
      <c r="I568" s="28"/>
    </row>
    <row r="569" ht="15.75" customHeight="1">
      <c r="I569" s="28"/>
    </row>
    <row r="570" ht="15.75" customHeight="1">
      <c r="I570" s="28"/>
    </row>
    <row r="571" ht="15.75" customHeight="1">
      <c r="I571" s="28"/>
    </row>
    <row r="572" ht="15.75" customHeight="1">
      <c r="I572" s="28"/>
    </row>
    <row r="573" ht="15.75" customHeight="1">
      <c r="I573" s="28"/>
    </row>
    <row r="574" ht="15.75" customHeight="1">
      <c r="I574" s="28"/>
    </row>
    <row r="575" ht="15.75" customHeight="1">
      <c r="I575" s="28"/>
    </row>
    <row r="576" ht="15.75" customHeight="1">
      <c r="I576" s="28"/>
    </row>
    <row r="577" ht="15.75" customHeight="1">
      <c r="I577" s="28"/>
    </row>
    <row r="578" ht="15.75" customHeight="1">
      <c r="I578" s="28"/>
    </row>
    <row r="579" ht="15.75" customHeight="1">
      <c r="I579" s="28"/>
    </row>
    <row r="580" ht="15.75" customHeight="1">
      <c r="I580" s="28"/>
    </row>
    <row r="581" ht="15.75" customHeight="1">
      <c r="I581" s="28"/>
    </row>
    <row r="582" ht="15.75" customHeight="1">
      <c r="I582" s="28"/>
    </row>
    <row r="583" ht="15.75" customHeight="1">
      <c r="I583" s="28"/>
    </row>
    <row r="584" ht="15.75" customHeight="1">
      <c r="I584" s="28"/>
    </row>
    <row r="585" ht="15.75" customHeight="1">
      <c r="I585" s="28"/>
    </row>
    <row r="586" ht="15.75" customHeight="1">
      <c r="I586" s="28"/>
    </row>
    <row r="587" ht="15.75" customHeight="1">
      <c r="I587" s="28"/>
    </row>
    <row r="588" ht="15.75" customHeight="1">
      <c r="I588" s="28"/>
    </row>
    <row r="589" ht="15.75" customHeight="1">
      <c r="I589" s="28"/>
    </row>
    <row r="590" ht="15.75" customHeight="1">
      <c r="I590" s="28"/>
    </row>
    <row r="591" ht="15.75" customHeight="1">
      <c r="I591" s="28"/>
    </row>
    <row r="592" ht="15.75" customHeight="1">
      <c r="I592" s="28"/>
    </row>
    <row r="593" ht="15.75" customHeight="1">
      <c r="I593" s="28"/>
    </row>
    <row r="594" ht="15.75" customHeight="1">
      <c r="I594" s="28"/>
    </row>
    <row r="595" ht="15.75" customHeight="1">
      <c r="I595" s="28"/>
    </row>
    <row r="596" ht="15.75" customHeight="1">
      <c r="I596" s="28"/>
    </row>
    <row r="597" ht="15.75" customHeight="1">
      <c r="I597" s="28"/>
    </row>
    <row r="598" ht="15.75" customHeight="1">
      <c r="I598" s="28"/>
    </row>
    <row r="599" ht="15.75" customHeight="1">
      <c r="I599" s="28"/>
    </row>
    <row r="600" ht="15.75" customHeight="1">
      <c r="I600" s="28"/>
    </row>
    <row r="601" ht="15.75" customHeight="1">
      <c r="I601" s="28"/>
    </row>
    <row r="602" ht="15.75" customHeight="1">
      <c r="I602" s="28"/>
    </row>
    <row r="603" ht="15.75" customHeight="1">
      <c r="I603" s="28"/>
    </row>
    <row r="604" ht="15.75" customHeight="1">
      <c r="I604" s="28"/>
    </row>
    <row r="605" ht="15.75" customHeight="1">
      <c r="I605" s="28"/>
    </row>
    <row r="606" ht="15.75" customHeight="1">
      <c r="I606" s="28"/>
    </row>
    <row r="607" ht="15.75" customHeight="1">
      <c r="I607" s="28"/>
    </row>
    <row r="608" ht="15.75" customHeight="1">
      <c r="I608" s="28"/>
    </row>
    <row r="609" ht="15.75" customHeight="1">
      <c r="I609" s="28"/>
    </row>
    <row r="610" ht="15.75" customHeight="1">
      <c r="I610" s="28"/>
    </row>
    <row r="611" ht="15.75" customHeight="1">
      <c r="I611" s="28"/>
    </row>
    <row r="612" ht="15.75" customHeight="1">
      <c r="I612" s="28"/>
    </row>
    <row r="613" ht="15.75" customHeight="1">
      <c r="I613" s="28"/>
    </row>
    <row r="614" ht="15.75" customHeight="1">
      <c r="I614" s="28"/>
    </row>
    <row r="615" ht="15.75" customHeight="1">
      <c r="I615" s="28"/>
    </row>
    <row r="616" ht="15.75" customHeight="1">
      <c r="I616" s="28"/>
    </row>
    <row r="617" ht="15.75" customHeight="1">
      <c r="I617" s="28"/>
    </row>
    <row r="618" ht="15.75" customHeight="1">
      <c r="I618" s="28"/>
    </row>
    <row r="619" ht="15.75" customHeight="1">
      <c r="I619" s="28"/>
    </row>
    <row r="620" ht="15.75" customHeight="1">
      <c r="I620" s="28"/>
    </row>
    <row r="621" ht="15.75" customHeight="1">
      <c r="I621" s="28"/>
    </row>
    <row r="622" ht="15.75" customHeight="1">
      <c r="I622" s="28"/>
    </row>
    <row r="623" ht="15.75" customHeight="1">
      <c r="I623" s="28"/>
    </row>
    <row r="624" ht="15.75" customHeight="1">
      <c r="I624" s="28"/>
    </row>
    <row r="625" ht="15.75" customHeight="1">
      <c r="I625" s="28"/>
    </row>
    <row r="626" ht="15.75" customHeight="1">
      <c r="I626" s="28"/>
    </row>
    <row r="627" ht="15.75" customHeight="1">
      <c r="I627" s="28"/>
    </row>
    <row r="628" ht="15.75" customHeight="1">
      <c r="I628" s="28"/>
    </row>
    <row r="629" ht="15.75" customHeight="1">
      <c r="I629" s="28"/>
    </row>
    <row r="630" ht="15.75" customHeight="1">
      <c r="I630" s="28"/>
    </row>
    <row r="631" ht="15.75" customHeight="1">
      <c r="I631" s="28"/>
    </row>
    <row r="632" ht="15.75" customHeight="1">
      <c r="I632" s="28"/>
    </row>
    <row r="633" ht="15.75" customHeight="1">
      <c r="I633" s="28"/>
    </row>
    <row r="634" ht="15.75" customHeight="1">
      <c r="I634" s="28"/>
    </row>
    <row r="635" ht="15.75" customHeight="1">
      <c r="I635" s="28"/>
    </row>
    <row r="636" ht="15.75" customHeight="1">
      <c r="I636" s="28"/>
    </row>
    <row r="637" ht="15.75" customHeight="1">
      <c r="I637" s="28"/>
    </row>
    <row r="638" ht="15.75" customHeight="1">
      <c r="I638" s="28"/>
    </row>
    <row r="639" ht="15.75" customHeight="1">
      <c r="I639" s="28"/>
    </row>
    <row r="640" ht="15.75" customHeight="1">
      <c r="I640" s="28"/>
    </row>
    <row r="641" ht="15.75" customHeight="1">
      <c r="I641" s="28"/>
    </row>
    <row r="642" ht="15.75" customHeight="1">
      <c r="I642" s="28"/>
    </row>
    <row r="643" ht="15.75" customHeight="1">
      <c r="I643" s="28"/>
    </row>
    <row r="644" ht="15.75" customHeight="1">
      <c r="I644" s="28"/>
    </row>
    <row r="645" ht="15.75" customHeight="1">
      <c r="I645" s="28"/>
    </row>
    <row r="646" ht="15.75" customHeight="1">
      <c r="I646" s="28"/>
    </row>
    <row r="647" ht="15.75" customHeight="1">
      <c r="I647" s="28"/>
    </row>
    <row r="648" ht="15.75" customHeight="1">
      <c r="I648" s="28"/>
    </row>
    <row r="649" ht="15.75" customHeight="1">
      <c r="I649" s="28"/>
    </row>
    <row r="650" ht="15.75" customHeight="1">
      <c r="I650" s="28"/>
    </row>
    <row r="651" ht="15.75" customHeight="1">
      <c r="I651" s="28"/>
    </row>
    <row r="652" ht="15.75" customHeight="1">
      <c r="I652" s="28"/>
    </row>
    <row r="653" ht="15.75" customHeight="1">
      <c r="I653" s="28"/>
    </row>
    <row r="654" ht="15.75" customHeight="1">
      <c r="I654" s="28"/>
    </row>
    <row r="655" ht="15.75" customHeight="1">
      <c r="I655" s="28"/>
    </row>
    <row r="656" ht="15.75" customHeight="1">
      <c r="I656" s="28"/>
    </row>
    <row r="657" ht="15.75" customHeight="1">
      <c r="I657" s="28"/>
    </row>
    <row r="658" ht="15.75" customHeight="1">
      <c r="I658" s="28"/>
    </row>
    <row r="659" ht="15.75" customHeight="1">
      <c r="I659" s="28"/>
    </row>
    <row r="660" ht="15.75" customHeight="1">
      <c r="I660" s="28"/>
    </row>
    <row r="661" ht="15.75" customHeight="1">
      <c r="I661" s="28"/>
    </row>
    <row r="662" ht="15.75" customHeight="1">
      <c r="I662" s="28"/>
    </row>
    <row r="663" ht="15.75" customHeight="1">
      <c r="I663" s="28"/>
    </row>
    <row r="664" ht="15.75" customHeight="1">
      <c r="I664" s="28"/>
    </row>
    <row r="665" ht="15.75" customHeight="1">
      <c r="I665" s="28"/>
    </row>
    <row r="666" ht="15.75" customHeight="1">
      <c r="I666" s="28"/>
    </row>
    <row r="667" ht="15.75" customHeight="1">
      <c r="I667" s="28"/>
    </row>
    <row r="668" ht="15.75" customHeight="1">
      <c r="I668" s="28"/>
    </row>
    <row r="669" ht="15.75" customHeight="1">
      <c r="I669" s="28"/>
    </row>
    <row r="670" ht="15.75" customHeight="1">
      <c r="I670" s="28"/>
    </row>
    <row r="671" ht="15.75" customHeight="1">
      <c r="I671" s="28"/>
    </row>
    <row r="672" ht="15.75" customHeight="1">
      <c r="I672" s="28"/>
    </row>
    <row r="673" ht="15.75" customHeight="1">
      <c r="I673" s="28"/>
    </row>
    <row r="674" ht="15.75" customHeight="1">
      <c r="I674" s="28"/>
    </row>
    <row r="675" ht="15.75" customHeight="1">
      <c r="I675" s="28"/>
    </row>
    <row r="676" ht="15.75" customHeight="1">
      <c r="I676" s="28"/>
    </row>
    <row r="677" ht="15.75" customHeight="1">
      <c r="I677" s="28"/>
    </row>
    <row r="678" ht="15.75" customHeight="1">
      <c r="I678" s="28"/>
    </row>
    <row r="679" ht="15.75" customHeight="1">
      <c r="I679" s="28"/>
    </row>
    <row r="680" ht="15.75" customHeight="1">
      <c r="I680" s="28"/>
    </row>
    <row r="681" ht="15.75" customHeight="1">
      <c r="I681" s="28"/>
    </row>
    <row r="682" ht="15.75" customHeight="1">
      <c r="I682" s="28"/>
    </row>
    <row r="683" ht="15.75" customHeight="1">
      <c r="I683" s="28"/>
    </row>
    <row r="684" ht="15.75" customHeight="1">
      <c r="I684" s="28"/>
    </row>
    <row r="685" ht="15.75" customHeight="1">
      <c r="I685" s="28"/>
    </row>
    <row r="686" ht="15.75" customHeight="1">
      <c r="I686" s="28"/>
    </row>
    <row r="687" ht="15.75" customHeight="1">
      <c r="I687" s="28"/>
    </row>
    <row r="688" ht="15.75" customHeight="1">
      <c r="I688" s="28"/>
    </row>
    <row r="689" ht="15.75" customHeight="1">
      <c r="I689" s="28"/>
    </row>
    <row r="690" ht="15.75" customHeight="1">
      <c r="I690" s="28"/>
    </row>
    <row r="691" ht="15.75" customHeight="1">
      <c r="I691" s="28"/>
    </row>
    <row r="692" ht="15.75" customHeight="1">
      <c r="I692" s="28"/>
    </row>
    <row r="693" ht="15.75" customHeight="1">
      <c r="I693" s="28"/>
    </row>
    <row r="694" ht="15.75" customHeight="1">
      <c r="I694" s="28"/>
    </row>
    <row r="695" ht="15.75" customHeight="1">
      <c r="I695" s="28"/>
    </row>
    <row r="696" ht="15.75" customHeight="1">
      <c r="I696" s="28"/>
    </row>
    <row r="697" ht="15.75" customHeight="1">
      <c r="I697" s="28"/>
    </row>
    <row r="698" ht="15.75" customHeight="1">
      <c r="I698" s="28"/>
    </row>
    <row r="699" ht="15.75" customHeight="1">
      <c r="I699" s="28"/>
    </row>
    <row r="700" ht="15.75" customHeight="1">
      <c r="I700" s="28"/>
    </row>
    <row r="701" ht="15.75" customHeight="1">
      <c r="I701" s="28"/>
    </row>
    <row r="702" ht="15.75" customHeight="1">
      <c r="I702" s="28"/>
    </row>
    <row r="703" ht="15.75" customHeight="1">
      <c r="I703" s="28"/>
    </row>
    <row r="704" ht="15.75" customHeight="1">
      <c r="I704" s="28"/>
    </row>
    <row r="705" ht="15.75" customHeight="1">
      <c r="I705" s="28"/>
    </row>
    <row r="706" ht="15.75" customHeight="1">
      <c r="I706" s="28"/>
    </row>
    <row r="707" ht="15.75" customHeight="1">
      <c r="I707" s="28"/>
    </row>
    <row r="708" ht="15.75" customHeight="1">
      <c r="I708" s="28"/>
    </row>
    <row r="709" ht="15.75" customHeight="1">
      <c r="I709" s="28"/>
    </row>
    <row r="710" ht="15.75" customHeight="1">
      <c r="I710" s="28"/>
    </row>
    <row r="711" ht="15.75" customHeight="1">
      <c r="I711" s="28"/>
    </row>
    <row r="712" ht="15.75" customHeight="1">
      <c r="I712" s="28"/>
    </row>
    <row r="713" ht="15.75" customHeight="1">
      <c r="I713" s="28"/>
    </row>
    <row r="714" ht="15.75" customHeight="1">
      <c r="I714" s="28"/>
    </row>
    <row r="715" ht="15.75" customHeight="1">
      <c r="I715" s="28"/>
    </row>
    <row r="716" ht="15.75" customHeight="1">
      <c r="I716" s="28"/>
    </row>
    <row r="717" ht="15.75" customHeight="1">
      <c r="I717" s="28"/>
    </row>
    <row r="718" ht="15.75" customHeight="1">
      <c r="I718" s="28"/>
    </row>
    <row r="719" ht="15.75" customHeight="1">
      <c r="I719" s="28"/>
    </row>
    <row r="720" ht="15.75" customHeight="1">
      <c r="I720" s="28"/>
    </row>
    <row r="721" ht="15.75" customHeight="1">
      <c r="I721" s="28"/>
    </row>
    <row r="722" ht="15.75" customHeight="1">
      <c r="I722" s="28"/>
    </row>
    <row r="723" ht="15.75" customHeight="1">
      <c r="I723" s="28"/>
    </row>
    <row r="724" ht="15.75" customHeight="1">
      <c r="I724" s="28"/>
    </row>
    <row r="725" ht="15.75" customHeight="1">
      <c r="I725" s="28"/>
    </row>
    <row r="726" ht="15.75" customHeight="1">
      <c r="I726" s="28"/>
    </row>
    <row r="727" ht="15.75" customHeight="1">
      <c r="I727" s="28"/>
    </row>
    <row r="728" ht="15.75" customHeight="1">
      <c r="I728" s="28"/>
    </row>
    <row r="729" ht="15.75" customHeight="1">
      <c r="I729" s="28"/>
    </row>
    <row r="730" ht="15.75" customHeight="1">
      <c r="I730" s="28"/>
    </row>
    <row r="731" ht="15.75" customHeight="1">
      <c r="I731" s="28"/>
    </row>
    <row r="732" ht="15.75" customHeight="1">
      <c r="I732" s="28"/>
    </row>
    <row r="733" ht="15.75" customHeight="1">
      <c r="I733" s="28"/>
    </row>
    <row r="734" ht="15.75" customHeight="1">
      <c r="I734" s="28"/>
    </row>
    <row r="735" ht="15.75" customHeight="1">
      <c r="I735" s="28"/>
    </row>
    <row r="736" ht="15.75" customHeight="1">
      <c r="I736" s="28"/>
    </row>
    <row r="737" ht="15.75" customHeight="1">
      <c r="I737" s="28"/>
    </row>
    <row r="738" ht="15.75" customHeight="1">
      <c r="I738" s="28"/>
    </row>
    <row r="739" ht="15.75" customHeight="1">
      <c r="I739" s="28"/>
    </row>
    <row r="740" ht="15.75" customHeight="1">
      <c r="I740" s="28"/>
    </row>
    <row r="741" ht="15.75" customHeight="1">
      <c r="I741" s="28"/>
    </row>
    <row r="742" ht="15.75" customHeight="1">
      <c r="I742" s="28"/>
    </row>
    <row r="743" ht="15.75" customHeight="1">
      <c r="I743" s="28"/>
    </row>
    <row r="744" ht="15.75" customHeight="1">
      <c r="I744" s="28"/>
    </row>
    <row r="745" ht="15.75" customHeight="1">
      <c r="I745" s="28"/>
    </row>
    <row r="746" ht="15.75" customHeight="1">
      <c r="I746" s="28"/>
    </row>
    <row r="747" ht="15.75" customHeight="1">
      <c r="I747" s="28"/>
    </row>
    <row r="748" ht="15.75" customHeight="1">
      <c r="I748" s="28"/>
    </row>
    <row r="749" ht="15.75" customHeight="1">
      <c r="I749" s="28"/>
    </row>
    <row r="750" ht="15.75" customHeight="1">
      <c r="I750" s="28"/>
    </row>
    <row r="751" ht="15.75" customHeight="1">
      <c r="I751" s="28"/>
    </row>
    <row r="752" ht="15.75" customHeight="1">
      <c r="I752" s="28"/>
    </row>
    <row r="753" ht="15.75" customHeight="1">
      <c r="I753" s="28"/>
    </row>
    <row r="754" ht="15.75" customHeight="1">
      <c r="I754" s="28"/>
    </row>
    <row r="755" ht="15.75" customHeight="1">
      <c r="I755" s="28"/>
    </row>
    <row r="756" ht="15.75" customHeight="1">
      <c r="I756" s="28"/>
    </row>
    <row r="757" ht="15.75" customHeight="1">
      <c r="I757" s="28"/>
    </row>
    <row r="758" ht="15.75" customHeight="1">
      <c r="I758" s="28"/>
    </row>
    <row r="759" ht="15.75" customHeight="1">
      <c r="I759" s="28"/>
    </row>
    <row r="760" ht="15.75" customHeight="1">
      <c r="I760" s="28"/>
    </row>
    <row r="761" ht="15.75" customHeight="1">
      <c r="I761" s="28"/>
    </row>
    <row r="762" ht="15.75" customHeight="1">
      <c r="I762" s="28"/>
    </row>
    <row r="763" ht="15.75" customHeight="1">
      <c r="I763" s="28"/>
    </row>
    <row r="764" ht="15.75" customHeight="1">
      <c r="I764" s="28"/>
    </row>
    <row r="765" ht="15.75" customHeight="1">
      <c r="I765" s="28"/>
    </row>
    <row r="766" ht="15.75" customHeight="1">
      <c r="I766" s="28"/>
    </row>
    <row r="767" ht="15.75" customHeight="1">
      <c r="I767" s="28"/>
    </row>
    <row r="768" ht="15.75" customHeight="1">
      <c r="I768" s="28"/>
    </row>
    <row r="769" ht="15.75" customHeight="1">
      <c r="I769" s="28"/>
    </row>
    <row r="770" ht="15.75" customHeight="1">
      <c r="I770" s="28"/>
    </row>
    <row r="771" ht="15.75" customHeight="1">
      <c r="I771" s="28"/>
    </row>
    <row r="772" ht="15.75" customHeight="1">
      <c r="I772" s="28"/>
    </row>
    <row r="773" ht="15.75" customHeight="1">
      <c r="I773" s="28"/>
    </row>
    <row r="774" ht="15.75" customHeight="1">
      <c r="I774" s="28"/>
    </row>
    <row r="775" ht="15.75" customHeight="1">
      <c r="I775" s="28"/>
    </row>
    <row r="776" ht="15.75" customHeight="1">
      <c r="I776" s="28"/>
    </row>
    <row r="777" ht="15.75" customHeight="1">
      <c r="I777" s="28"/>
    </row>
    <row r="778" ht="15.75" customHeight="1">
      <c r="I778" s="28"/>
    </row>
    <row r="779" ht="15.75" customHeight="1">
      <c r="I779" s="28"/>
    </row>
    <row r="780" ht="15.75" customHeight="1">
      <c r="I780" s="28"/>
    </row>
    <row r="781" ht="15.75" customHeight="1">
      <c r="I781" s="28"/>
    </row>
    <row r="782" ht="15.75" customHeight="1">
      <c r="I782" s="28"/>
    </row>
    <row r="783" ht="15.75" customHeight="1">
      <c r="I783" s="28"/>
    </row>
    <row r="784" ht="15.75" customHeight="1">
      <c r="I784" s="28"/>
    </row>
    <row r="785" ht="15.75" customHeight="1">
      <c r="I785" s="28"/>
    </row>
    <row r="786" ht="15.75" customHeight="1">
      <c r="I786" s="28"/>
    </row>
    <row r="787" ht="15.75" customHeight="1">
      <c r="I787" s="28"/>
    </row>
    <row r="788" ht="15.75" customHeight="1">
      <c r="I788" s="28"/>
    </row>
    <row r="789" ht="15.75" customHeight="1">
      <c r="I789" s="28"/>
    </row>
    <row r="790" ht="15.75" customHeight="1">
      <c r="I790" s="28"/>
    </row>
    <row r="791" ht="15.75" customHeight="1">
      <c r="I791" s="28"/>
    </row>
    <row r="792" ht="15.75" customHeight="1">
      <c r="I792" s="28"/>
    </row>
    <row r="793" ht="15.75" customHeight="1">
      <c r="I793" s="28"/>
    </row>
    <row r="794" ht="15.75" customHeight="1">
      <c r="I794" s="28"/>
    </row>
    <row r="795" ht="15.75" customHeight="1">
      <c r="I795" s="28"/>
    </row>
    <row r="796" ht="15.75" customHeight="1">
      <c r="I796" s="28"/>
    </row>
    <row r="797" ht="15.75" customHeight="1">
      <c r="I797" s="28"/>
    </row>
    <row r="798" ht="15.75" customHeight="1">
      <c r="I798" s="28"/>
    </row>
    <row r="799" ht="15.75" customHeight="1">
      <c r="I799" s="28"/>
    </row>
    <row r="800" ht="15.75" customHeight="1">
      <c r="I800" s="28"/>
    </row>
    <row r="801" ht="15.75" customHeight="1">
      <c r="I801" s="28"/>
    </row>
    <row r="802" ht="15.75" customHeight="1">
      <c r="I802" s="28"/>
    </row>
    <row r="803" ht="15.75" customHeight="1">
      <c r="I803" s="28"/>
    </row>
    <row r="804" ht="15.75" customHeight="1">
      <c r="I804" s="28"/>
    </row>
    <row r="805" ht="15.75" customHeight="1">
      <c r="I805" s="28"/>
    </row>
    <row r="806" ht="15.75" customHeight="1">
      <c r="I806" s="28"/>
    </row>
    <row r="807" ht="15.75" customHeight="1">
      <c r="I807" s="28"/>
    </row>
    <row r="808" ht="15.75" customHeight="1">
      <c r="I808" s="28"/>
    </row>
    <row r="809" ht="15.75" customHeight="1">
      <c r="I809" s="28"/>
    </row>
    <row r="810" ht="15.75" customHeight="1">
      <c r="I810" s="28"/>
    </row>
    <row r="811" ht="15.75" customHeight="1">
      <c r="I811" s="28"/>
    </row>
    <row r="812" ht="15.75" customHeight="1">
      <c r="I812" s="28"/>
    </row>
    <row r="813" ht="15.75" customHeight="1">
      <c r="I813" s="28"/>
    </row>
    <row r="814" ht="15.75" customHeight="1">
      <c r="I814" s="28"/>
    </row>
    <row r="815" ht="15.75" customHeight="1">
      <c r="I815" s="28"/>
    </row>
    <row r="816" ht="15.75" customHeight="1">
      <c r="I816" s="28"/>
    </row>
    <row r="817" ht="15.75" customHeight="1">
      <c r="I817" s="28"/>
    </row>
    <row r="818" ht="15.75" customHeight="1">
      <c r="I818" s="28"/>
    </row>
    <row r="819" ht="15.75" customHeight="1">
      <c r="I819" s="28"/>
    </row>
    <row r="820" ht="15.75" customHeight="1">
      <c r="I820" s="28"/>
    </row>
    <row r="821" ht="15.75" customHeight="1">
      <c r="I821" s="28"/>
    </row>
    <row r="822" ht="15.75" customHeight="1">
      <c r="I822" s="28"/>
    </row>
    <row r="823" ht="15.75" customHeight="1">
      <c r="I823" s="28"/>
    </row>
    <row r="824" ht="15.75" customHeight="1">
      <c r="I824" s="28"/>
    </row>
    <row r="825" ht="15.75" customHeight="1">
      <c r="I825" s="28"/>
    </row>
    <row r="826" ht="15.75" customHeight="1">
      <c r="I826" s="28"/>
    </row>
    <row r="827" ht="15.75" customHeight="1">
      <c r="I827" s="28"/>
    </row>
    <row r="828" ht="15.75" customHeight="1">
      <c r="I828" s="28"/>
    </row>
    <row r="829" ht="15.75" customHeight="1">
      <c r="I829" s="28"/>
    </row>
    <row r="830" ht="15.75" customHeight="1">
      <c r="I830" s="28"/>
    </row>
    <row r="831" ht="15.75" customHeight="1">
      <c r="I831" s="28"/>
    </row>
    <row r="832" ht="15.75" customHeight="1">
      <c r="I832" s="28"/>
    </row>
    <row r="833" ht="15.75" customHeight="1">
      <c r="I833" s="28"/>
    </row>
    <row r="834" ht="15.75" customHeight="1">
      <c r="I834" s="28"/>
    </row>
    <row r="835" ht="15.75" customHeight="1">
      <c r="I835" s="28"/>
    </row>
    <row r="836" ht="15.75" customHeight="1">
      <c r="I836" s="28"/>
    </row>
    <row r="837" ht="15.75" customHeight="1">
      <c r="I837" s="28"/>
    </row>
    <row r="838" ht="15.75" customHeight="1">
      <c r="I838" s="28"/>
    </row>
    <row r="839" ht="15.75" customHeight="1">
      <c r="I839" s="28"/>
    </row>
    <row r="840" ht="15.75" customHeight="1">
      <c r="I840" s="28"/>
    </row>
    <row r="841" ht="15.75" customHeight="1">
      <c r="I841" s="28"/>
    </row>
    <row r="842" ht="15.75" customHeight="1">
      <c r="I842" s="28"/>
    </row>
    <row r="843" ht="15.75" customHeight="1">
      <c r="I843" s="28"/>
    </row>
    <row r="844" ht="15.75" customHeight="1">
      <c r="I844" s="28"/>
    </row>
    <row r="845" ht="15.75" customHeight="1">
      <c r="I845" s="28"/>
    </row>
    <row r="846" ht="15.75" customHeight="1">
      <c r="I846" s="28"/>
    </row>
    <row r="847" ht="15.75" customHeight="1">
      <c r="I847" s="28"/>
    </row>
    <row r="848" ht="15.75" customHeight="1">
      <c r="I848" s="28"/>
    </row>
    <row r="849" ht="15.75" customHeight="1">
      <c r="I849" s="28"/>
    </row>
    <row r="850" ht="15.75" customHeight="1">
      <c r="I850" s="28"/>
    </row>
    <row r="851" ht="15.75" customHeight="1">
      <c r="I851" s="28"/>
    </row>
    <row r="852" ht="15.75" customHeight="1">
      <c r="I852" s="28"/>
    </row>
    <row r="853" ht="15.75" customHeight="1">
      <c r="I853" s="28"/>
    </row>
    <row r="854" ht="15.75" customHeight="1">
      <c r="I854" s="28"/>
    </row>
    <row r="855" ht="15.75" customHeight="1">
      <c r="I855" s="28"/>
    </row>
    <row r="856" ht="15.75" customHeight="1">
      <c r="I856" s="28"/>
    </row>
    <row r="857" ht="15.75" customHeight="1">
      <c r="I857" s="28"/>
    </row>
    <row r="858" ht="15.75" customHeight="1">
      <c r="I858" s="28"/>
    </row>
    <row r="859" ht="15.75" customHeight="1">
      <c r="I859" s="28"/>
    </row>
    <row r="860" ht="15.75" customHeight="1">
      <c r="I860" s="28"/>
    </row>
    <row r="861" ht="15.75" customHeight="1">
      <c r="I861" s="28"/>
    </row>
    <row r="862" ht="15.75" customHeight="1">
      <c r="I862" s="28"/>
    </row>
    <row r="863" ht="15.75" customHeight="1">
      <c r="I863" s="28"/>
    </row>
    <row r="864" ht="15.75" customHeight="1">
      <c r="I864" s="28"/>
    </row>
    <row r="865" ht="15.75" customHeight="1">
      <c r="I865" s="28"/>
    </row>
    <row r="866" ht="15.75" customHeight="1">
      <c r="I866" s="28"/>
    </row>
    <row r="867" ht="15.75" customHeight="1">
      <c r="I867" s="28"/>
    </row>
    <row r="868" ht="15.75" customHeight="1">
      <c r="I868" s="28"/>
    </row>
    <row r="869" ht="15.75" customHeight="1">
      <c r="I869" s="28"/>
    </row>
    <row r="870" ht="15.75" customHeight="1">
      <c r="I870" s="28"/>
    </row>
    <row r="871" ht="15.75" customHeight="1">
      <c r="I871" s="28"/>
    </row>
    <row r="872" ht="15.75" customHeight="1">
      <c r="I872" s="28"/>
    </row>
    <row r="873" ht="15.75" customHeight="1">
      <c r="I873" s="28"/>
    </row>
    <row r="874" ht="15.75" customHeight="1">
      <c r="I874" s="28"/>
    </row>
    <row r="875" ht="15.75" customHeight="1">
      <c r="I875" s="28"/>
    </row>
    <row r="876" ht="15.75" customHeight="1">
      <c r="I876" s="28"/>
    </row>
    <row r="877" ht="15.75" customHeight="1">
      <c r="I877" s="28"/>
    </row>
    <row r="878" ht="15.75" customHeight="1">
      <c r="I878" s="28"/>
    </row>
    <row r="879" ht="15.75" customHeight="1">
      <c r="I879" s="28"/>
    </row>
    <row r="880" ht="15.75" customHeight="1">
      <c r="I880" s="28"/>
    </row>
    <row r="881" ht="15.75" customHeight="1">
      <c r="I881" s="28"/>
    </row>
    <row r="882" ht="15.75" customHeight="1">
      <c r="I882" s="28"/>
    </row>
    <row r="883" ht="15.75" customHeight="1">
      <c r="I883" s="28"/>
    </row>
    <row r="884" ht="15.75" customHeight="1">
      <c r="I884" s="28"/>
    </row>
    <row r="885" ht="15.75" customHeight="1">
      <c r="I885" s="28"/>
    </row>
    <row r="886" ht="15.75" customHeight="1">
      <c r="I886" s="28"/>
    </row>
    <row r="887" ht="15.75" customHeight="1">
      <c r="I887" s="28"/>
    </row>
    <row r="888" ht="15.75" customHeight="1">
      <c r="I888" s="28"/>
    </row>
    <row r="889" ht="15.75" customHeight="1">
      <c r="I889" s="28"/>
    </row>
    <row r="890" ht="15.75" customHeight="1">
      <c r="I890" s="28"/>
    </row>
    <row r="891" ht="15.75" customHeight="1">
      <c r="I891" s="28"/>
    </row>
    <row r="892" ht="15.75" customHeight="1">
      <c r="I892" s="28"/>
    </row>
    <row r="893" ht="15.75" customHeight="1">
      <c r="I893" s="28"/>
    </row>
    <row r="894" ht="15.75" customHeight="1">
      <c r="I894" s="28"/>
    </row>
    <row r="895" ht="15.75" customHeight="1">
      <c r="I895" s="28"/>
    </row>
    <row r="896" ht="15.75" customHeight="1">
      <c r="I896" s="28"/>
    </row>
    <row r="897" ht="15.75" customHeight="1">
      <c r="I897" s="28"/>
    </row>
    <row r="898" ht="15.75" customHeight="1">
      <c r="I898" s="28"/>
    </row>
    <row r="899" ht="15.75" customHeight="1">
      <c r="I899" s="28"/>
    </row>
    <row r="900" ht="15.75" customHeight="1">
      <c r="I900" s="28"/>
    </row>
    <row r="901" ht="15.75" customHeight="1">
      <c r="I901" s="28"/>
    </row>
    <row r="902" ht="15.75" customHeight="1">
      <c r="I902" s="28"/>
    </row>
    <row r="903" ht="15.75" customHeight="1">
      <c r="I903" s="28"/>
    </row>
    <row r="904" ht="15.75" customHeight="1">
      <c r="I904" s="28"/>
    </row>
    <row r="905" ht="15.75" customHeight="1">
      <c r="I905" s="28"/>
    </row>
    <row r="906" ht="15.75" customHeight="1">
      <c r="I906" s="28"/>
    </row>
    <row r="907" ht="15.75" customHeight="1">
      <c r="I907" s="28"/>
    </row>
    <row r="908" ht="15.75" customHeight="1">
      <c r="I908" s="28"/>
    </row>
    <row r="909" ht="15.75" customHeight="1">
      <c r="I909" s="28"/>
    </row>
    <row r="910" ht="15.75" customHeight="1">
      <c r="I910" s="28"/>
    </row>
    <row r="911" ht="15.75" customHeight="1">
      <c r="I911" s="28"/>
    </row>
    <row r="912" ht="15.75" customHeight="1">
      <c r="I912" s="28"/>
    </row>
    <row r="913" ht="15.75" customHeight="1">
      <c r="I913" s="28"/>
    </row>
    <row r="914" ht="15.75" customHeight="1">
      <c r="I914" s="28"/>
    </row>
    <row r="915" ht="15.75" customHeight="1">
      <c r="I915" s="28"/>
    </row>
    <row r="916" ht="15.75" customHeight="1">
      <c r="I916" s="28"/>
    </row>
    <row r="917" ht="15.75" customHeight="1">
      <c r="I917" s="28"/>
    </row>
    <row r="918" ht="15.75" customHeight="1">
      <c r="I918" s="28"/>
    </row>
    <row r="919" ht="15.75" customHeight="1">
      <c r="I919" s="28"/>
    </row>
    <row r="920" ht="15.75" customHeight="1">
      <c r="I920" s="28"/>
    </row>
    <row r="921" ht="15.75" customHeight="1">
      <c r="I921" s="28"/>
    </row>
    <row r="922" ht="15.75" customHeight="1">
      <c r="I922" s="28"/>
    </row>
    <row r="923" ht="15.75" customHeight="1">
      <c r="I923" s="28"/>
    </row>
    <row r="924" ht="15.75" customHeight="1">
      <c r="I924" s="28"/>
    </row>
    <row r="925" ht="15.75" customHeight="1">
      <c r="I925" s="28"/>
    </row>
    <row r="926" ht="15.75" customHeight="1">
      <c r="I926" s="28"/>
    </row>
    <row r="927" ht="15.75" customHeight="1">
      <c r="I927" s="28"/>
    </row>
    <row r="928" ht="15.75" customHeight="1">
      <c r="I928" s="28"/>
    </row>
    <row r="929" ht="15.75" customHeight="1">
      <c r="I929" s="28"/>
    </row>
    <row r="930" ht="15.75" customHeight="1">
      <c r="I930" s="28"/>
    </row>
    <row r="931" ht="15.75" customHeight="1">
      <c r="I931" s="28"/>
    </row>
    <row r="932" ht="15.75" customHeight="1">
      <c r="I932" s="28"/>
    </row>
    <row r="933" ht="15.75" customHeight="1">
      <c r="I933" s="28"/>
    </row>
    <row r="934" ht="15.75" customHeight="1">
      <c r="I934" s="28"/>
    </row>
    <row r="935" ht="15.75" customHeight="1">
      <c r="I935" s="28"/>
    </row>
    <row r="936" ht="15.75" customHeight="1">
      <c r="I936" s="28"/>
    </row>
    <row r="937" ht="15.75" customHeight="1">
      <c r="I937" s="28"/>
    </row>
    <row r="938" ht="15.75" customHeight="1">
      <c r="I938" s="28"/>
    </row>
    <row r="939" ht="15.75" customHeight="1">
      <c r="I939" s="28"/>
    </row>
    <row r="940" ht="15.75" customHeight="1">
      <c r="I940" s="28"/>
    </row>
    <row r="941" ht="15.75" customHeight="1">
      <c r="I941" s="28"/>
    </row>
    <row r="942" ht="15.75" customHeight="1">
      <c r="I942" s="28"/>
    </row>
    <row r="943" ht="15.75" customHeight="1">
      <c r="I943" s="28"/>
    </row>
    <row r="944" ht="15.75" customHeight="1">
      <c r="I944" s="28"/>
    </row>
    <row r="945" ht="15.75" customHeight="1">
      <c r="I945" s="28"/>
    </row>
    <row r="946" ht="15.75" customHeight="1">
      <c r="I946" s="28"/>
    </row>
    <row r="947" ht="15.75" customHeight="1">
      <c r="I947" s="28"/>
    </row>
    <row r="948" ht="15.75" customHeight="1">
      <c r="I948" s="28"/>
    </row>
    <row r="949" ht="15.75" customHeight="1">
      <c r="I949" s="28"/>
    </row>
    <row r="950" ht="15.75" customHeight="1">
      <c r="I950" s="28"/>
    </row>
    <row r="951" ht="15.75" customHeight="1">
      <c r="I951" s="28"/>
    </row>
    <row r="952" ht="15.75" customHeight="1">
      <c r="I952" s="28"/>
    </row>
    <row r="953" ht="15.75" customHeight="1">
      <c r="I953" s="28"/>
    </row>
    <row r="954" ht="15.75" customHeight="1">
      <c r="I954" s="28"/>
    </row>
    <row r="955" ht="15.75" customHeight="1">
      <c r="I955" s="28"/>
    </row>
    <row r="956" ht="15.75" customHeight="1">
      <c r="I956" s="28"/>
    </row>
    <row r="957" ht="15.75" customHeight="1">
      <c r="I957" s="28"/>
    </row>
    <row r="958" ht="15.75" customHeight="1">
      <c r="I958" s="28"/>
    </row>
    <row r="959" ht="15.75" customHeight="1">
      <c r="I959" s="28"/>
    </row>
    <row r="960" ht="15.75" customHeight="1">
      <c r="I960" s="28"/>
    </row>
    <row r="961" ht="15.75" customHeight="1">
      <c r="I961" s="28"/>
    </row>
    <row r="962" ht="15.75" customHeight="1">
      <c r="I962" s="28"/>
    </row>
    <row r="963" ht="15.75" customHeight="1">
      <c r="I963" s="28"/>
    </row>
    <row r="964" ht="15.75" customHeight="1">
      <c r="I964" s="28"/>
    </row>
    <row r="965" ht="15.75" customHeight="1">
      <c r="I965" s="28"/>
    </row>
    <row r="966" ht="15.75" customHeight="1">
      <c r="I966" s="28"/>
    </row>
    <row r="967" ht="15.75" customHeight="1">
      <c r="I967" s="28"/>
    </row>
    <row r="968" ht="15.75" customHeight="1">
      <c r="I968" s="28"/>
    </row>
    <row r="969" ht="15.75" customHeight="1">
      <c r="I969" s="28"/>
    </row>
    <row r="970" ht="15.75" customHeight="1">
      <c r="I970" s="28"/>
    </row>
    <row r="971" ht="15.75" customHeight="1">
      <c r="I971" s="28"/>
    </row>
    <row r="972" ht="15.75" customHeight="1">
      <c r="I972" s="28"/>
    </row>
    <row r="973" ht="15.75" customHeight="1">
      <c r="I973" s="28"/>
    </row>
    <row r="974" ht="15.75" customHeight="1">
      <c r="I974" s="28"/>
    </row>
    <row r="975" ht="15.75" customHeight="1">
      <c r="I975" s="28"/>
    </row>
    <row r="976" ht="15.75" customHeight="1">
      <c r="I976" s="28"/>
    </row>
    <row r="977" ht="15.75" customHeight="1">
      <c r="I977" s="28"/>
    </row>
    <row r="978" ht="15.75" customHeight="1">
      <c r="I978" s="28"/>
    </row>
    <row r="979" ht="15.75" customHeight="1">
      <c r="I979" s="28"/>
    </row>
    <row r="980" ht="15.75" customHeight="1">
      <c r="I980" s="28"/>
    </row>
    <row r="981" ht="15.75" customHeight="1">
      <c r="I981" s="28"/>
    </row>
    <row r="982" ht="15.75" customHeight="1">
      <c r="I982" s="28"/>
    </row>
    <row r="983" ht="15.75" customHeight="1">
      <c r="I983" s="28"/>
    </row>
    <row r="984" ht="15.75" customHeight="1">
      <c r="I984" s="28"/>
    </row>
    <row r="985" ht="15.75" customHeight="1">
      <c r="I985" s="28"/>
    </row>
    <row r="986" ht="15.75" customHeight="1">
      <c r="I986" s="28"/>
    </row>
    <row r="987" ht="15.75" customHeight="1">
      <c r="I987" s="28"/>
    </row>
    <row r="988" ht="15.75" customHeight="1">
      <c r="I988" s="28"/>
    </row>
    <row r="989" ht="15.75" customHeight="1">
      <c r="I989" s="28"/>
    </row>
    <row r="990" ht="15.75" customHeight="1">
      <c r="I990" s="28"/>
    </row>
    <row r="991" ht="15.75" customHeight="1">
      <c r="I991" s="28"/>
    </row>
    <row r="992" ht="15.75" customHeight="1">
      <c r="I992" s="28"/>
    </row>
    <row r="993" ht="15.75" customHeight="1">
      <c r="I993" s="28"/>
    </row>
    <row r="994" ht="15.75" customHeight="1">
      <c r="I994" s="28"/>
    </row>
    <row r="995" ht="15.75" customHeight="1">
      <c r="I995" s="28"/>
    </row>
    <row r="996" ht="15.75" customHeight="1">
      <c r="I996" s="28"/>
    </row>
    <row r="997" ht="15.75" customHeight="1">
      <c r="I997" s="28"/>
    </row>
    <row r="998" ht="15.75" customHeight="1">
      <c r="I998" s="28"/>
    </row>
    <row r="999" ht="15.75" customHeight="1">
      <c r="I999" s="28"/>
    </row>
    <row r="1000" ht="15.75" customHeight="1">
      <c r="I1000" s="28"/>
    </row>
  </sheetData>
  <mergeCells count="5">
    <mergeCell ref="B1:I1"/>
    <mergeCell ref="J1:Q1"/>
    <mergeCell ref="R1:Y1"/>
    <mergeCell ref="Z1:AG1"/>
    <mergeCell ref="AH1:AO1"/>
  </mergeCells>
  <printOptions/>
  <pageMargins bottom="0.75" footer="0.0" header="0.0" left="0.7" right="0.7" top="0.75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94" width="8.71"/>
  </cols>
  <sheetData>
    <row r="1">
      <c r="A1" t="s">
        <v>12</v>
      </c>
      <c r="B1" s="8"/>
      <c r="C1" s="8"/>
      <c r="D1" s="8"/>
      <c r="E1" s="8"/>
      <c r="F1" s="8"/>
      <c r="G1" s="8"/>
      <c r="H1" s="8"/>
      <c r="I1" s="8"/>
      <c r="J1" s="9"/>
      <c r="K1" s="11" t="s">
        <v>17</v>
      </c>
      <c r="L1" s="8"/>
      <c r="M1" s="8"/>
      <c r="N1" s="8"/>
      <c r="O1" s="8"/>
      <c r="P1" s="8"/>
      <c r="Q1" s="8"/>
      <c r="R1" s="8"/>
      <c r="S1" s="8"/>
      <c r="T1" s="9"/>
      <c r="U1" s="11" t="s">
        <v>25</v>
      </c>
      <c r="V1" s="8"/>
      <c r="W1" s="8"/>
      <c r="X1" s="8"/>
      <c r="Y1" s="8"/>
      <c r="Z1" s="8"/>
      <c r="AA1" s="8"/>
      <c r="AB1" s="8"/>
      <c r="AC1" s="8"/>
      <c r="AD1" s="9"/>
      <c r="AE1" s="11" t="s">
        <v>26</v>
      </c>
      <c r="AF1" s="8"/>
      <c r="AG1" s="8"/>
      <c r="AH1" s="8"/>
      <c r="AI1" s="8"/>
      <c r="AJ1" s="8"/>
      <c r="AK1" s="8"/>
      <c r="AL1" s="8"/>
      <c r="AM1" s="8"/>
      <c r="AN1" s="9"/>
      <c r="AO1" s="11" t="s">
        <v>27</v>
      </c>
      <c r="AP1" s="8"/>
      <c r="AQ1" s="8"/>
      <c r="AR1" s="8"/>
      <c r="AS1" s="8"/>
      <c r="AT1" s="8"/>
      <c r="AU1" s="8"/>
      <c r="AV1" s="8"/>
      <c r="AW1" s="8"/>
      <c r="AX1" s="9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</row>
    <row r="2">
      <c r="A2" s="14" t="s">
        <v>28</v>
      </c>
      <c r="B2" s="16" t="s">
        <v>14</v>
      </c>
      <c r="C2" s="16" t="s">
        <v>18</v>
      </c>
      <c r="D2" s="16" t="s">
        <v>19</v>
      </c>
      <c r="E2" s="16" t="s">
        <v>20</v>
      </c>
      <c r="F2" s="16" t="s">
        <v>21</v>
      </c>
      <c r="G2" s="16" t="s">
        <v>22</v>
      </c>
      <c r="H2" s="16" t="s">
        <v>23</v>
      </c>
      <c r="I2" s="16" t="s">
        <v>24</v>
      </c>
      <c r="J2" s="20"/>
      <c r="K2" s="14" t="s">
        <v>28</v>
      </c>
      <c r="L2" s="16" t="s">
        <v>14</v>
      </c>
      <c r="M2" s="16" t="s">
        <v>18</v>
      </c>
      <c r="N2" s="16" t="s">
        <v>19</v>
      </c>
      <c r="O2" s="16" t="s">
        <v>20</v>
      </c>
      <c r="P2" s="16" t="s">
        <v>21</v>
      </c>
      <c r="Q2" s="16" t="s">
        <v>22</v>
      </c>
      <c r="R2" s="16" t="s">
        <v>23</v>
      </c>
      <c r="S2" s="16" t="s">
        <v>24</v>
      </c>
      <c r="T2" s="20"/>
      <c r="U2" s="14" t="s">
        <v>28</v>
      </c>
      <c r="V2" s="16" t="s">
        <v>14</v>
      </c>
      <c r="W2" s="16" t="s">
        <v>18</v>
      </c>
      <c r="X2" s="16" t="s">
        <v>19</v>
      </c>
      <c r="Y2" s="16" t="s">
        <v>20</v>
      </c>
      <c r="Z2" s="16" t="s">
        <v>21</v>
      </c>
      <c r="AA2" s="16" t="s">
        <v>22</v>
      </c>
      <c r="AB2" s="16" t="s">
        <v>23</v>
      </c>
      <c r="AC2" s="16" t="s">
        <v>24</v>
      </c>
      <c r="AD2" s="20"/>
      <c r="AE2" s="14" t="s">
        <v>28</v>
      </c>
      <c r="AF2" s="16" t="s">
        <v>14</v>
      </c>
      <c r="AG2" s="16" t="s">
        <v>18</v>
      </c>
      <c r="AH2" s="16" t="s">
        <v>19</v>
      </c>
      <c r="AI2" s="16" t="s">
        <v>20</v>
      </c>
      <c r="AJ2" s="16" t="s">
        <v>21</v>
      </c>
      <c r="AK2" s="16" t="s">
        <v>22</v>
      </c>
      <c r="AL2" s="16" t="s">
        <v>23</v>
      </c>
      <c r="AM2" s="16" t="s">
        <v>24</v>
      </c>
      <c r="AN2" s="20"/>
      <c r="AO2" s="14" t="s">
        <v>28</v>
      </c>
      <c r="AP2" s="16" t="s">
        <v>14</v>
      </c>
      <c r="AQ2" s="16" t="s">
        <v>18</v>
      </c>
      <c r="AR2" s="16" t="s">
        <v>19</v>
      </c>
      <c r="AS2" s="16" t="s">
        <v>20</v>
      </c>
      <c r="AT2" s="16" t="s">
        <v>21</v>
      </c>
      <c r="AU2" s="16" t="s">
        <v>22</v>
      </c>
      <c r="AV2" s="16" t="s">
        <v>23</v>
      </c>
      <c r="AW2" s="16" t="s">
        <v>24</v>
      </c>
      <c r="AX2" s="20"/>
    </row>
    <row r="3">
      <c r="A3" s="16" t="s">
        <v>33</v>
      </c>
      <c r="B3" s="8" t="s">
        <v>34</v>
      </c>
      <c r="C3" s="8"/>
      <c r="D3" s="8"/>
      <c r="E3" s="8"/>
      <c r="F3" s="8"/>
      <c r="G3" s="8"/>
      <c r="H3" s="8" t="s">
        <v>35</v>
      </c>
      <c r="I3" s="8"/>
      <c r="J3" s="9"/>
      <c r="K3" s="16" t="s">
        <v>33</v>
      </c>
      <c r="L3" s="8" t="s">
        <v>36</v>
      </c>
      <c r="M3" s="8"/>
      <c r="N3" s="8"/>
      <c r="O3" s="8"/>
      <c r="P3" s="8"/>
      <c r="Q3" s="8"/>
      <c r="R3" s="8"/>
      <c r="S3" s="8"/>
      <c r="T3" s="9"/>
      <c r="U3" s="16" t="s">
        <v>33</v>
      </c>
      <c r="V3" s="8" t="s">
        <v>37</v>
      </c>
      <c r="W3" s="8"/>
      <c r="X3" s="8"/>
      <c r="Y3" s="8"/>
      <c r="Z3" s="8"/>
      <c r="AA3" s="8"/>
      <c r="AB3" s="8"/>
      <c r="AC3" s="8"/>
      <c r="AD3" s="9"/>
      <c r="AE3" s="16" t="s">
        <v>33</v>
      </c>
      <c r="AF3" s="8"/>
      <c r="AG3" s="8"/>
      <c r="AH3" s="8"/>
      <c r="AI3" s="8"/>
      <c r="AJ3" s="8"/>
      <c r="AK3" s="8"/>
      <c r="AL3" s="8"/>
      <c r="AM3" s="8"/>
      <c r="AN3" s="9"/>
      <c r="AO3" s="16" t="s">
        <v>33</v>
      </c>
      <c r="AP3" s="22"/>
      <c r="AQ3" s="8"/>
      <c r="AR3" s="8"/>
      <c r="AS3" s="8"/>
      <c r="AT3" s="8"/>
      <c r="AU3" s="8"/>
      <c r="AV3" s="8"/>
      <c r="AW3" s="8"/>
      <c r="AX3" s="9"/>
    </row>
    <row r="4">
      <c r="A4" s="16" t="s">
        <v>38</v>
      </c>
      <c r="B4" s="8" t="s">
        <v>39</v>
      </c>
      <c r="C4" s="8"/>
      <c r="D4" s="8"/>
      <c r="E4" s="8"/>
      <c r="F4" s="8"/>
      <c r="G4" s="8"/>
      <c r="H4" s="8" t="s">
        <v>35</v>
      </c>
      <c r="I4" s="8"/>
      <c r="J4" s="9"/>
      <c r="K4" s="16" t="s">
        <v>38</v>
      </c>
      <c r="L4" s="8" t="s">
        <v>40</v>
      </c>
      <c r="M4" s="8"/>
      <c r="N4" s="8"/>
      <c r="O4" s="8"/>
      <c r="P4" s="8"/>
      <c r="Q4" s="8"/>
      <c r="R4" s="8"/>
      <c r="S4" s="8"/>
      <c r="T4" s="9"/>
      <c r="U4" s="16" t="s">
        <v>38</v>
      </c>
      <c r="V4" s="8" t="s">
        <v>41</v>
      </c>
      <c r="W4" s="8"/>
      <c r="X4" s="8"/>
      <c r="Y4" s="8"/>
      <c r="Z4" s="8"/>
      <c r="AA4" s="8"/>
      <c r="AB4" s="8"/>
      <c r="AC4" s="8"/>
      <c r="AD4" s="9"/>
      <c r="AE4" s="16" t="s">
        <v>38</v>
      </c>
      <c r="AF4" s="8"/>
      <c r="AG4" s="8"/>
      <c r="AH4" s="8"/>
      <c r="AI4" s="8"/>
      <c r="AJ4" s="8"/>
      <c r="AK4" s="8"/>
      <c r="AL4" s="8"/>
      <c r="AM4" s="8"/>
      <c r="AN4" s="9"/>
      <c r="AO4" s="16" t="s">
        <v>38</v>
      </c>
      <c r="AP4" s="8"/>
      <c r="AQ4" s="8"/>
      <c r="AR4" s="8"/>
      <c r="AS4" s="8"/>
      <c r="AT4" s="8"/>
      <c r="AU4" s="8"/>
      <c r="AV4" s="8" t="s">
        <v>43</v>
      </c>
      <c r="AW4" s="8"/>
      <c r="AX4" s="9"/>
    </row>
    <row r="5">
      <c r="A5" s="16" t="s">
        <v>44</v>
      </c>
      <c r="B5" s="8" t="s">
        <v>34</v>
      </c>
      <c r="C5" s="8"/>
      <c r="D5" s="8" t="s">
        <v>35</v>
      </c>
      <c r="E5" s="8" t="s">
        <v>35</v>
      </c>
      <c r="F5" s="8"/>
      <c r="G5" s="8"/>
      <c r="H5" s="8"/>
      <c r="I5" s="8"/>
      <c r="J5" s="9"/>
      <c r="K5" s="16" t="s">
        <v>44</v>
      </c>
      <c r="L5" s="8" t="s">
        <v>36</v>
      </c>
      <c r="M5" s="8"/>
      <c r="N5" s="8"/>
      <c r="O5" s="8"/>
      <c r="P5" s="8"/>
      <c r="Q5" s="8"/>
      <c r="R5" s="8"/>
      <c r="S5" s="8"/>
      <c r="T5" s="9"/>
      <c r="U5" s="16" t="s">
        <v>44</v>
      </c>
      <c r="V5" s="8" t="s">
        <v>37</v>
      </c>
      <c r="W5" s="8"/>
      <c r="X5" s="8"/>
      <c r="Y5" s="8"/>
      <c r="Z5" s="8"/>
      <c r="AA5" s="8"/>
      <c r="AB5" s="8"/>
      <c r="AC5" s="8"/>
      <c r="AD5" s="9"/>
      <c r="AE5" s="16" t="s">
        <v>44</v>
      </c>
      <c r="AF5" s="8"/>
      <c r="AG5" s="8"/>
      <c r="AH5" s="8"/>
      <c r="AI5" s="8"/>
      <c r="AJ5" s="8"/>
      <c r="AK5" s="8"/>
      <c r="AL5" s="8"/>
      <c r="AM5" s="8"/>
      <c r="AN5" s="9"/>
      <c r="AO5" s="16" t="s">
        <v>44</v>
      </c>
      <c r="AP5" s="22"/>
      <c r="AQ5" s="8"/>
      <c r="AR5" s="8"/>
      <c r="AS5" s="8"/>
      <c r="AT5" s="8"/>
      <c r="AU5" s="8"/>
      <c r="AV5" s="8" t="s">
        <v>43</v>
      </c>
      <c r="AW5" s="8"/>
      <c r="AX5" s="9"/>
    </row>
    <row r="6">
      <c r="A6" s="16" t="s">
        <v>47</v>
      </c>
      <c r="B6" s="8" t="s">
        <v>39</v>
      </c>
      <c r="C6" s="8"/>
      <c r="D6" s="8"/>
      <c r="E6" s="8"/>
      <c r="F6" s="8"/>
      <c r="G6" s="8" t="s">
        <v>35</v>
      </c>
      <c r="H6" s="8"/>
      <c r="I6" s="8"/>
      <c r="J6" s="9"/>
      <c r="K6" s="16" t="s">
        <v>47</v>
      </c>
      <c r="L6" s="8" t="s">
        <v>40</v>
      </c>
      <c r="M6" s="8"/>
      <c r="N6" s="8"/>
      <c r="O6" s="8"/>
      <c r="P6" s="8"/>
      <c r="Q6" s="8"/>
      <c r="R6" s="8"/>
      <c r="S6" s="8"/>
      <c r="T6" s="9"/>
      <c r="U6" s="16" t="s">
        <v>47</v>
      </c>
      <c r="V6" s="8" t="s">
        <v>41</v>
      </c>
      <c r="W6" s="8"/>
      <c r="X6" s="8"/>
      <c r="Y6" s="8" t="s">
        <v>50</v>
      </c>
      <c r="Z6" s="8" t="s">
        <v>50</v>
      </c>
      <c r="AA6" s="8"/>
      <c r="AB6" s="8"/>
      <c r="AC6" s="8"/>
      <c r="AD6" s="9"/>
      <c r="AE6" s="16" t="s">
        <v>47</v>
      </c>
      <c r="AF6" s="8"/>
      <c r="AG6" s="8"/>
      <c r="AH6" s="8"/>
      <c r="AI6" s="8"/>
      <c r="AJ6" s="8"/>
      <c r="AK6" s="8"/>
      <c r="AL6" s="8"/>
      <c r="AM6" s="8"/>
      <c r="AN6" s="9"/>
      <c r="AO6" s="16" t="s">
        <v>47</v>
      </c>
      <c r="AP6" s="8"/>
      <c r="AQ6" s="8"/>
      <c r="AR6" s="8"/>
      <c r="AS6" s="8"/>
      <c r="AT6" s="8" t="s">
        <v>43</v>
      </c>
      <c r="AU6" s="8"/>
      <c r="AV6" s="8"/>
      <c r="AW6" s="8"/>
      <c r="AX6" s="9"/>
    </row>
    <row r="7">
      <c r="A7" s="23" t="s">
        <v>54</v>
      </c>
      <c r="B7" s="24" t="s">
        <v>34</v>
      </c>
      <c r="C7" s="24" t="s">
        <v>35</v>
      </c>
      <c r="D7" s="24"/>
      <c r="E7" s="24"/>
      <c r="F7" s="24"/>
      <c r="G7" s="24"/>
      <c r="H7" s="24"/>
      <c r="I7" s="24"/>
      <c r="J7" s="25"/>
      <c r="K7" s="23" t="s">
        <v>54</v>
      </c>
      <c r="L7" s="24" t="s">
        <v>36</v>
      </c>
      <c r="M7" s="24"/>
      <c r="N7" s="24"/>
      <c r="O7" s="24"/>
      <c r="P7" s="24"/>
      <c r="Q7" s="24"/>
      <c r="R7" s="24"/>
      <c r="S7" s="24"/>
      <c r="T7" s="25"/>
      <c r="U7" s="23" t="s">
        <v>54</v>
      </c>
      <c r="V7" s="24" t="s">
        <v>37</v>
      </c>
      <c r="W7" s="24"/>
      <c r="X7" s="24"/>
      <c r="Y7" s="24"/>
      <c r="Z7" s="24"/>
      <c r="AA7" s="24"/>
      <c r="AB7" s="24"/>
      <c r="AC7" s="24"/>
      <c r="AD7" s="25"/>
      <c r="AE7" s="23" t="s">
        <v>54</v>
      </c>
      <c r="AF7" s="24"/>
      <c r="AG7" s="24"/>
      <c r="AH7" s="24"/>
      <c r="AI7" s="24"/>
      <c r="AJ7" s="24"/>
      <c r="AK7" s="24"/>
      <c r="AL7" s="24"/>
      <c r="AM7" s="24"/>
      <c r="AN7" s="25"/>
      <c r="AO7" s="23" t="s">
        <v>54</v>
      </c>
      <c r="AP7" s="26"/>
      <c r="AQ7" s="24"/>
      <c r="AR7" s="24"/>
      <c r="AS7" s="24"/>
      <c r="AT7" s="24"/>
      <c r="AU7" s="24"/>
      <c r="AV7" s="24"/>
      <c r="AW7" s="24"/>
      <c r="AX7" s="25"/>
    </row>
    <row r="8">
      <c r="A8" s="11" t="s">
        <v>59</v>
      </c>
      <c r="B8" s="8"/>
      <c r="C8" s="8"/>
      <c r="D8" s="8"/>
      <c r="E8" s="8"/>
      <c r="F8" s="8"/>
      <c r="G8" s="8"/>
      <c r="H8" s="8"/>
      <c r="I8" s="8"/>
      <c r="J8" s="9"/>
      <c r="K8" t="s">
        <v>61</v>
      </c>
      <c r="L8" s="8"/>
      <c r="M8" s="8"/>
      <c r="N8" s="8"/>
      <c r="O8" s="8"/>
      <c r="P8" s="8"/>
      <c r="Q8" s="8"/>
      <c r="R8" s="8"/>
      <c r="S8" s="8"/>
      <c r="T8" s="9"/>
      <c r="U8" s="11" t="s">
        <v>66</v>
      </c>
      <c r="V8" s="8"/>
      <c r="W8" s="8"/>
      <c r="X8" s="8"/>
      <c r="Y8" s="8"/>
      <c r="Z8" s="8"/>
      <c r="AA8" s="8"/>
      <c r="AB8" s="8"/>
      <c r="AC8" s="8"/>
      <c r="AD8" s="9"/>
      <c r="AE8" s="11" t="s">
        <v>71</v>
      </c>
      <c r="AF8" s="8"/>
      <c r="AG8" s="8"/>
      <c r="AH8" s="8"/>
      <c r="AI8" s="8"/>
      <c r="AJ8" s="8"/>
      <c r="AK8" s="8"/>
      <c r="AL8" s="8"/>
      <c r="AM8" s="8"/>
      <c r="AN8" s="9"/>
      <c r="AO8" s="11" t="s">
        <v>72</v>
      </c>
      <c r="AP8" s="8"/>
      <c r="AQ8" s="8"/>
      <c r="AR8" s="8"/>
      <c r="AS8" s="8"/>
      <c r="AT8" s="8"/>
      <c r="AU8" s="8"/>
      <c r="AV8" s="8"/>
      <c r="AW8" s="8"/>
      <c r="AX8" s="9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</row>
    <row r="9">
      <c r="A9" s="14" t="s">
        <v>28</v>
      </c>
      <c r="B9" s="16" t="s">
        <v>14</v>
      </c>
      <c r="C9" s="16" t="s">
        <v>18</v>
      </c>
      <c r="D9" s="16" t="s">
        <v>19</v>
      </c>
      <c r="E9" s="16" t="s">
        <v>20</v>
      </c>
      <c r="F9" s="16" t="s">
        <v>21</v>
      </c>
      <c r="G9" s="16" t="s">
        <v>22</v>
      </c>
      <c r="H9" s="16" t="s">
        <v>23</v>
      </c>
      <c r="I9" s="16" t="s">
        <v>24</v>
      </c>
      <c r="J9" s="20"/>
      <c r="K9" s="14" t="s">
        <v>28</v>
      </c>
      <c r="L9" s="16" t="s">
        <v>14</v>
      </c>
      <c r="M9" s="16" t="s">
        <v>18</v>
      </c>
      <c r="N9" s="16" t="s">
        <v>19</v>
      </c>
      <c r="O9" s="16" t="s">
        <v>20</v>
      </c>
      <c r="P9" s="16" t="s">
        <v>21</v>
      </c>
      <c r="Q9" s="16" t="s">
        <v>22</v>
      </c>
      <c r="R9" s="16" t="s">
        <v>23</v>
      </c>
      <c r="S9" s="16" t="s">
        <v>24</v>
      </c>
      <c r="T9" s="20"/>
      <c r="U9" s="14" t="s">
        <v>28</v>
      </c>
      <c r="V9" s="16" t="s">
        <v>14</v>
      </c>
      <c r="W9" s="16" t="s">
        <v>18</v>
      </c>
      <c r="X9" s="16" t="s">
        <v>19</v>
      </c>
      <c r="Y9" s="16" t="s">
        <v>20</v>
      </c>
      <c r="Z9" s="16" t="s">
        <v>21</v>
      </c>
      <c r="AA9" s="16" t="s">
        <v>22</v>
      </c>
      <c r="AB9" s="16" t="s">
        <v>23</v>
      </c>
      <c r="AC9" s="16" t="s">
        <v>24</v>
      </c>
      <c r="AD9" s="20"/>
      <c r="AE9" s="14" t="s">
        <v>28</v>
      </c>
      <c r="AF9" s="16" t="s">
        <v>14</v>
      </c>
      <c r="AG9" s="16" t="s">
        <v>18</v>
      </c>
      <c r="AH9" s="16" t="s">
        <v>19</v>
      </c>
      <c r="AI9" s="16" t="s">
        <v>20</v>
      </c>
      <c r="AJ9" s="16" t="s">
        <v>21</v>
      </c>
      <c r="AK9" s="16" t="s">
        <v>22</v>
      </c>
      <c r="AL9" s="16" t="s">
        <v>23</v>
      </c>
      <c r="AM9" s="16" t="s">
        <v>24</v>
      </c>
      <c r="AN9" s="20"/>
      <c r="AO9" s="14" t="s">
        <v>28</v>
      </c>
      <c r="AP9" s="16" t="s">
        <v>14</v>
      </c>
      <c r="AQ9" s="16" t="s">
        <v>18</v>
      </c>
      <c r="AR9" s="16" t="s">
        <v>19</v>
      </c>
      <c r="AS9" s="16" t="s">
        <v>20</v>
      </c>
      <c r="AT9" s="16" t="s">
        <v>21</v>
      </c>
      <c r="AU9" s="16" t="s">
        <v>22</v>
      </c>
      <c r="AV9" s="16" t="s">
        <v>23</v>
      </c>
      <c r="AW9" s="16" t="s">
        <v>24</v>
      </c>
      <c r="AX9" s="20"/>
    </row>
    <row r="10">
      <c r="A10" s="16" t="s">
        <v>33</v>
      </c>
      <c r="B10" s="8"/>
      <c r="C10" s="8"/>
      <c r="D10" s="8"/>
      <c r="E10" s="8"/>
      <c r="F10" s="8"/>
      <c r="G10" s="8"/>
      <c r="H10" s="8"/>
      <c r="I10" s="8"/>
      <c r="J10" s="9"/>
      <c r="K10" s="16" t="s">
        <v>33</v>
      </c>
      <c r="L10" s="8" t="s">
        <v>93</v>
      </c>
      <c r="M10" s="8"/>
      <c r="N10" s="8"/>
      <c r="O10" s="8"/>
      <c r="P10" s="8"/>
      <c r="Q10" s="8"/>
      <c r="R10" s="8"/>
      <c r="S10" s="8"/>
      <c r="T10" s="9"/>
      <c r="U10" s="16" t="s">
        <v>33</v>
      </c>
      <c r="V10" s="8" t="s">
        <v>94</v>
      </c>
      <c r="W10" s="8"/>
      <c r="X10" s="8" t="s">
        <v>95</v>
      </c>
      <c r="Y10" s="8"/>
      <c r="Z10" s="8"/>
      <c r="AA10" s="8" t="s">
        <v>95</v>
      </c>
      <c r="AB10" s="8" t="s">
        <v>95</v>
      </c>
      <c r="AC10" s="8"/>
      <c r="AD10" s="9"/>
      <c r="AE10" s="16" t="s">
        <v>33</v>
      </c>
      <c r="AF10" s="8" t="s">
        <v>97</v>
      </c>
      <c r="AG10" s="8"/>
      <c r="AH10" s="8"/>
      <c r="AI10" s="8"/>
      <c r="AJ10" s="8"/>
      <c r="AK10" s="8"/>
      <c r="AL10" s="8"/>
      <c r="AM10" s="8"/>
      <c r="AN10" s="9"/>
      <c r="AO10" s="16" t="s">
        <v>33</v>
      </c>
      <c r="AP10" s="8" t="s">
        <v>99</v>
      </c>
      <c r="AQ10" s="8"/>
      <c r="AR10" s="8"/>
      <c r="AS10" s="8"/>
      <c r="AT10" s="8"/>
      <c r="AU10" s="8"/>
      <c r="AV10" s="8"/>
      <c r="AW10" s="8"/>
      <c r="AX10" s="9"/>
    </row>
    <row r="11">
      <c r="A11" s="16" t="s">
        <v>38</v>
      </c>
      <c r="B11" s="8"/>
      <c r="C11" s="8"/>
      <c r="D11" s="8"/>
      <c r="E11" s="8"/>
      <c r="F11" s="8"/>
      <c r="G11" s="8"/>
      <c r="H11" s="8"/>
      <c r="I11" s="8"/>
      <c r="J11" s="9"/>
      <c r="K11" s="16" t="s">
        <v>38</v>
      </c>
      <c r="L11" s="8"/>
      <c r="M11" s="8"/>
      <c r="N11" s="8"/>
      <c r="O11" s="8" t="s">
        <v>103</v>
      </c>
      <c r="P11" s="8"/>
      <c r="Q11" s="8"/>
      <c r="R11" s="8"/>
      <c r="S11" s="8" t="s">
        <v>103</v>
      </c>
      <c r="T11" s="9"/>
      <c r="U11" s="16" t="s">
        <v>38</v>
      </c>
      <c r="V11" s="8" t="s">
        <v>104</v>
      </c>
      <c r="W11" s="8"/>
      <c r="X11" s="8" t="s">
        <v>105</v>
      </c>
      <c r="Y11" s="8" t="s">
        <v>105</v>
      </c>
      <c r="Z11" s="8"/>
      <c r="AA11" s="8"/>
      <c r="AB11" s="8"/>
      <c r="AC11" s="8"/>
      <c r="AD11" s="9"/>
      <c r="AE11" s="16" t="s">
        <v>38</v>
      </c>
      <c r="AF11" s="8" t="s">
        <v>106</v>
      </c>
      <c r="AG11" s="8"/>
      <c r="AH11" s="8"/>
      <c r="AI11" s="8"/>
      <c r="AJ11" s="8"/>
      <c r="AK11" s="8"/>
      <c r="AL11" s="8"/>
      <c r="AM11" s="8"/>
      <c r="AN11" s="9"/>
      <c r="AO11" s="16" t="s">
        <v>38</v>
      </c>
      <c r="AP11" s="8" t="s">
        <v>107</v>
      </c>
      <c r="AQ11" s="8"/>
      <c r="AR11" s="8"/>
      <c r="AS11" s="8" t="s">
        <v>108</v>
      </c>
      <c r="AT11" s="8" t="s">
        <v>108</v>
      </c>
      <c r="AU11" s="8"/>
      <c r="AV11" s="8"/>
      <c r="AW11" s="8"/>
      <c r="AX11" s="9"/>
    </row>
    <row r="12">
      <c r="A12" s="16" t="s">
        <v>44</v>
      </c>
      <c r="B12" s="8"/>
      <c r="C12" s="8"/>
      <c r="D12" s="8"/>
      <c r="E12" s="8"/>
      <c r="F12" s="8"/>
      <c r="G12" s="8"/>
      <c r="H12" s="8"/>
      <c r="I12" s="8"/>
      <c r="J12" s="9"/>
      <c r="K12" s="16" t="s">
        <v>44</v>
      </c>
      <c r="L12" s="8" t="s">
        <v>93</v>
      </c>
      <c r="M12" s="8"/>
      <c r="N12" s="8"/>
      <c r="O12" s="8"/>
      <c r="P12" s="8"/>
      <c r="Q12" s="8"/>
      <c r="R12" s="8"/>
      <c r="S12" s="8"/>
      <c r="T12" s="9"/>
      <c r="U12" s="16" t="s">
        <v>44</v>
      </c>
      <c r="V12" s="8" t="s">
        <v>94</v>
      </c>
      <c r="W12" s="8"/>
      <c r="X12" s="8"/>
      <c r="Y12" s="8" t="s">
        <v>113</v>
      </c>
      <c r="Z12" s="8"/>
      <c r="AA12" s="8"/>
      <c r="AB12" s="8"/>
      <c r="AC12" s="8" t="s">
        <v>113</v>
      </c>
      <c r="AD12" s="9"/>
      <c r="AE12" s="16" t="s">
        <v>44</v>
      </c>
      <c r="AF12" s="8" t="s">
        <v>97</v>
      </c>
      <c r="AG12" s="8"/>
      <c r="AH12" s="8"/>
      <c r="AI12" s="8"/>
      <c r="AJ12" s="8"/>
      <c r="AK12" s="8"/>
      <c r="AL12" s="8"/>
      <c r="AM12" s="8"/>
      <c r="AN12" s="9"/>
      <c r="AO12" s="16" t="s">
        <v>44</v>
      </c>
      <c r="AP12" s="8" t="s">
        <v>99</v>
      </c>
      <c r="AQ12" s="8"/>
      <c r="AR12" s="8"/>
      <c r="AS12" s="8" t="s">
        <v>115</v>
      </c>
      <c r="AT12" s="8" t="s">
        <v>115</v>
      </c>
      <c r="AU12" s="8"/>
      <c r="AV12" s="8"/>
      <c r="AW12" s="8"/>
      <c r="AX12" s="9"/>
    </row>
    <row r="13">
      <c r="A13" s="16" t="s">
        <v>47</v>
      </c>
      <c r="B13" s="8"/>
      <c r="C13" s="8"/>
      <c r="D13" s="8"/>
      <c r="E13" s="8"/>
      <c r="F13" s="8"/>
      <c r="G13" s="8"/>
      <c r="H13" s="8"/>
      <c r="I13" s="8"/>
      <c r="J13" s="9"/>
      <c r="K13" s="16" t="s">
        <v>47</v>
      </c>
      <c r="L13" s="8" t="s">
        <v>93</v>
      </c>
      <c r="M13" s="8" t="s">
        <v>120</v>
      </c>
      <c r="N13" s="8"/>
      <c r="O13" s="8"/>
      <c r="P13" s="8"/>
      <c r="Q13" s="8"/>
      <c r="R13" s="8"/>
      <c r="S13" s="8"/>
      <c r="T13" s="9"/>
      <c r="U13" s="16" t="s">
        <v>47</v>
      </c>
      <c r="V13" s="8" t="s">
        <v>104</v>
      </c>
      <c r="W13" s="8"/>
      <c r="X13" s="8"/>
      <c r="Y13" s="8"/>
      <c r="Z13" s="8"/>
      <c r="AA13" s="8"/>
      <c r="AB13" s="8"/>
      <c r="AC13" s="8"/>
      <c r="AD13" s="9"/>
      <c r="AE13" s="16" t="s">
        <v>47</v>
      </c>
      <c r="AF13" s="8" t="s">
        <v>106</v>
      </c>
      <c r="AG13" s="8"/>
      <c r="AH13" s="8"/>
      <c r="AI13" s="8"/>
      <c r="AJ13" s="8"/>
      <c r="AK13" s="8"/>
      <c r="AL13" s="8"/>
      <c r="AM13" s="8"/>
      <c r="AN13" s="9"/>
      <c r="AO13" s="16" t="s">
        <v>47</v>
      </c>
      <c r="AP13" s="8" t="s">
        <v>107</v>
      </c>
      <c r="AQ13" s="8"/>
      <c r="AR13" s="8"/>
      <c r="AS13" s="8"/>
      <c r="AT13" s="8"/>
      <c r="AU13" s="8"/>
      <c r="AV13" s="8"/>
      <c r="AW13" s="8"/>
      <c r="AX13" s="9"/>
    </row>
    <row r="14">
      <c r="A14" s="23" t="s">
        <v>54</v>
      </c>
      <c r="B14" s="24"/>
      <c r="C14" s="24"/>
      <c r="D14" s="24"/>
      <c r="E14" s="24"/>
      <c r="F14" s="24"/>
      <c r="G14" s="24"/>
      <c r="H14" s="24"/>
      <c r="I14" s="24"/>
      <c r="J14" s="25"/>
      <c r="K14" s="23" t="s">
        <v>54</v>
      </c>
      <c r="L14" s="24" t="s">
        <v>93</v>
      </c>
      <c r="M14" s="24"/>
      <c r="N14" s="24"/>
      <c r="O14" s="24"/>
      <c r="P14" s="24"/>
      <c r="Q14" s="24"/>
      <c r="R14" s="24"/>
      <c r="S14" s="24"/>
      <c r="T14" s="25"/>
      <c r="U14" s="23" t="s">
        <v>54</v>
      </c>
      <c r="V14" s="24" t="s">
        <v>94</v>
      </c>
      <c r="W14" s="24"/>
      <c r="X14" s="24"/>
      <c r="Y14" s="24"/>
      <c r="Z14" s="24"/>
      <c r="AA14" s="24"/>
      <c r="AB14" s="24"/>
      <c r="AC14" s="24"/>
      <c r="AD14" s="25"/>
      <c r="AE14" s="23" t="s">
        <v>54</v>
      </c>
      <c r="AF14" s="24" t="s">
        <v>97</v>
      </c>
      <c r="AG14" s="24"/>
      <c r="AH14" s="24"/>
      <c r="AI14" s="24"/>
      <c r="AJ14" s="24"/>
      <c r="AK14" s="24"/>
      <c r="AL14" s="24"/>
      <c r="AM14" s="24"/>
      <c r="AN14" s="25"/>
      <c r="AO14" s="23" t="s">
        <v>54</v>
      </c>
      <c r="AP14" s="24" t="s">
        <v>99</v>
      </c>
      <c r="AQ14" s="24"/>
      <c r="AR14" s="24"/>
      <c r="AS14" s="24"/>
      <c r="AT14" s="24"/>
      <c r="AU14" s="24"/>
      <c r="AV14" s="24"/>
      <c r="AW14" s="24"/>
      <c r="AX14" s="25"/>
    </row>
    <row r="15">
      <c r="A15" s="11" t="s">
        <v>82</v>
      </c>
      <c r="B15" s="8"/>
      <c r="C15" s="8"/>
      <c r="D15" s="8"/>
      <c r="E15" s="8"/>
      <c r="F15" s="8"/>
      <c r="G15" s="8"/>
      <c r="H15" s="8"/>
      <c r="I15" s="8"/>
      <c r="J15" s="9"/>
      <c r="K15" s="11" t="s">
        <v>98</v>
      </c>
      <c r="L15" s="8"/>
      <c r="M15" s="8"/>
      <c r="N15" s="8"/>
      <c r="O15" s="8"/>
      <c r="P15" s="8"/>
      <c r="Q15" s="8"/>
      <c r="R15" s="8"/>
      <c r="S15" s="8"/>
      <c r="T15" s="9"/>
      <c r="U15" t="s">
        <v>110</v>
      </c>
      <c r="V15" s="8"/>
      <c r="W15" s="8"/>
      <c r="X15" s="8"/>
      <c r="Y15" s="8"/>
      <c r="Z15" s="8"/>
      <c r="AA15" s="8"/>
      <c r="AB15" s="8"/>
      <c r="AC15" s="8"/>
      <c r="AD15" s="9"/>
      <c r="AE15" s="11" t="s">
        <v>116</v>
      </c>
      <c r="AF15" s="8"/>
      <c r="AG15" s="8"/>
      <c r="AH15" s="8"/>
      <c r="AI15" s="8"/>
      <c r="AJ15" s="8"/>
      <c r="AK15" s="8"/>
      <c r="AL15" s="8"/>
      <c r="AM15" s="8"/>
      <c r="AN15" s="9"/>
      <c r="AO15" s="11" t="s">
        <v>118</v>
      </c>
      <c r="AP15" s="8"/>
      <c r="AQ15" s="8"/>
      <c r="AR15" s="8"/>
      <c r="AS15" s="8"/>
      <c r="AT15" s="8"/>
      <c r="AU15" s="8"/>
      <c r="AV15" s="8"/>
      <c r="AW15" s="8"/>
      <c r="AX15" s="9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</row>
    <row r="16">
      <c r="A16" s="14" t="s">
        <v>28</v>
      </c>
      <c r="B16" s="16" t="s">
        <v>14</v>
      </c>
      <c r="C16" s="16" t="s">
        <v>18</v>
      </c>
      <c r="D16" s="16" t="s">
        <v>19</v>
      </c>
      <c r="E16" s="16" t="s">
        <v>20</v>
      </c>
      <c r="F16" s="16" t="s">
        <v>21</v>
      </c>
      <c r="G16" s="16" t="s">
        <v>22</v>
      </c>
      <c r="H16" s="16" t="s">
        <v>23</v>
      </c>
      <c r="I16" s="16" t="s">
        <v>24</v>
      </c>
      <c r="J16" s="20"/>
      <c r="K16" s="14" t="s">
        <v>28</v>
      </c>
      <c r="L16" s="16" t="s">
        <v>14</v>
      </c>
      <c r="M16" s="16" t="s">
        <v>18</v>
      </c>
      <c r="N16" s="16" t="s">
        <v>19</v>
      </c>
      <c r="O16" s="16" t="s">
        <v>20</v>
      </c>
      <c r="P16" s="16" t="s">
        <v>21</v>
      </c>
      <c r="Q16" s="16" t="s">
        <v>22</v>
      </c>
      <c r="R16" s="16" t="s">
        <v>23</v>
      </c>
      <c r="S16" s="16" t="s">
        <v>24</v>
      </c>
      <c r="T16" s="20"/>
      <c r="U16" s="14" t="s">
        <v>28</v>
      </c>
      <c r="V16" s="16" t="s">
        <v>14</v>
      </c>
      <c r="W16" s="16" t="s">
        <v>18</v>
      </c>
      <c r="X16" s="16" t="s">
        <v>19</v>
      </c>
      <c r="Y16" s="16" t="s">
        <v>20</v>
      </c>
      <c r="Z16" s="16" t="s">
        <v>21</v>
      </c>
      <c r="AA16" s="16" t="s">
        <v>22</v>
      </c>
      <c r="AB16" s="16" t="s">
        <v>23</v>
      </c>
      <c r="AC16" s="16" t="s">
        <v>24</v>
      </c>
      <c r="AD16" s="20"/>
      <c r="AE16" s="14" t="s">
        <v>28</v>
      </c>
      <c r="AF16" s="16" t="s">
        <v>14</v>
      </c>
      <c r="AG16" s="16" t="s">
        <v>18</v>
      </c>
      <c r="AH16" s="16" t="s">
        <v>19</v>
      </c>
      <c r="AI16" s="16" t="s">
        <v>20</v>
      </c>
      <c r="AJ16" s="16" t="s">
        <v>21</v>
      </c>
      <c r="AK16" s="16" t="s">
        <v>22</v>
      </c>
      <c r="AL16" s="16" t="s">
        <v>23</v>
      </c>
      <c r="AM16" s="16" t="s">
        <v>24</v>
      </c>
      <c r="AN16" s="20"/>
      <c r="AO16" s="14" t="s">
        <v>28</v>
      </c>
      <c r="AP16" s="16" t="s">
        <v>14</v>
      </c>
      <c r="AQ16" s="16" t="s">
        <v>18</v>
      </c>
      <c r="AR16" s="16" t="s">
        <v>19</v>
      </c>
      <c r="AS16" s="16" t="s">
        <v>20</v>
      </c>
      <c r="AT16" s="16" t="s">
        <v>21</v>
      </c>
      <c r="AU16" s="16" t="s">
        <v>22</v>
      </c>
      <c r="AV16" s="16" t="s">
        <v>23</v>
      </c>
      <c r="AW16" s="16" t="s">
        <v>24</v>
      </c>
      <c r="AX16" s="20"/>
    </row>
    <row r="17">
      <c r="A17" s="16" t="s">
        <v>33</v>
      </c>
      <c r="B17" s="8"/>
      <c r="C17" s="22" t="s">
        <v>163</v>
      </c>
      <c r="D17" s="22" t="s">
        <v>166</v>
      </c>
      <c r="E17" s="8"/>
      <c r="F17" s="22" t="s">
        <v>167</v>
      </c>
      <c r="G17" s="8"/>
      <c r="H17" s="22" t="s">
        <v>169</v>
      </c>
      <c r="I17" s="22" t="s">
        <v>171</v>
      </c>
      <c r="J17" s="9"/>
      <c r="K17" s="16" t="s">
        <v>33</v>
      </c>
      <c r="L17" s="8" t="s">
        <v>173</v>
      </c>
      <c r="M17" s="8"/>
      <c r="N17" s="8" t="s">
        <v>175</v>
      </c>
      <c r="O17" s="8" t="s">
        <v>178</v>
      </c>
      <c r="P17" s="8"/>
      <c r="Q17" s="8"/>
      <c r="R17" s="8"/>
      <c r="S17" s="8"/>
      <c r="T17" s="9"/>
      <c r="U17" s="16" t="s">
        <v>33</v>
      </c>
      <c r="V17" s="8" t="s">
        <v>180</v>
      </c>
      <c r="W17" s="8"/>
      <c r="X17" s="8"/>
      <c r="Y17" s="8"/>
      <c r="Z17" s="8"/>
      <c r="AA17" s="8"/>
      <c r="AB17" s="8"/>
      <c r="AC17" s="8"/>
      <c r="AD17" s="9"/>
      <c r="AE17" s="16" t="s">
        <v>33</v>
      </c>
      <c r="AF17" s="8"/>
      <c r="AG17" s="8"/>
      <c r="AH17" s="8"/>
      <c r="AI17" s="8"/>
      <c r="AJ17" s="8"/>
      <c r="AK17" s="8"/>
      <c r="AL17" s="8"/>
      <c r="AM17" s="8"/>
      <c r="AN17" s="9"/>
      <c r="AO17" s="16" t="s">
        <v>33</v>
      </c>
      <c r="AP17" s="8"/>
      <c r="AQ17" s="8"/>
      <c r="AR17" s="8"/>
      <c r="AS17" s="8" t="s">
        <v>183</v>
      </c>
      <c r="AT17" s="8"/>
      <c r="AU17" s="8"/>
      <c r="AV17" s="8"/>
      <c r="AW17" s="8"/>
      <c r="AX17" s="9"/>
    </row>
    <row r="18">
      <c r="A18" s="16" t="s">
        <v>38</v>
      </c>
      <c r="B18" s="8"/>
      <c r="C18" s="8"/>
      <c r="D18" s="22" t="s">
        <v>166</v>
      </c>
      <c r="E18" s="8"/>
      <c r="F18" s="22" t="s">
        <v>167</v>
      </c>
      <c r="G18" s="22" t="s">
        <v>163</v>
      </c>
      <c r="H18" s="22" t="s">
        <v>171</v>
      </c>
      <c r="I18" s="22" t="s">
        <v>191</v>
      </c>
      <c r="J18" s="9"/>
      <c r="K18" s="16" t="s">
        <v>38</v>
      </c>
      <c r="L18" s="8" t="s">
        <v>178</v>
      </c>
      <c r="M18" s="8"/>
      <c r="N18" s="8"/>
      <c r="O18" s="8"/>
      <c r="P18" s="8" t="s">
        <v>175</v>
      </c>
      <c r="Q18" s="8"/>
      <c r="R18" s="8"/>
      <c r="S18" s="8"/>
      <c r="T18" s="9"/>
      <c r="U18" s="16" t="s">
        <v>38</v>
      </c>
      <c r="V18" s="8" t="s">
        <v>193</v>
      </c>
      <c r="W18" s="8"/>
      <c r="X18" s="8"/>
      <c r="Y18" s="8"/>
      <c r="Z18" s="8"/>
      <c r="AA18" s="8"/>
      <c r="AB18" s="8"/>
      <c r="AC18" s="8"/>
      <c r="AD18" s="9"/>
      <c r="AE18" s="16" t="s">
        <v>38</v>
      </c>
      <c r="AF18" s="8"/>
      <c r="AG18" s="8"/>
      <c r="AH18" s="8"/>
      <c r="AI18" s="8"/>
      <c r="AJ18" s="8"/>
      <c r="AK18" s="8"/>
      <c r="AL18" s="8"/>
      <c r="AM18" s="8"/>
      <c r="AN18" s="9"/>
      <c r="AO18" s="16" t="s">
        <v>38</v>
      </c>
      <c r="AP18" s="8"/>
      <c r="AQ18" s="8"/>
      <c r="AR18" s="8"/>
      <c r="AS18" s="8"/>
      <c r="AT18" s="8"/>
      <c r="AU18" s="8"/>
      <c r="AV18" s="8"/>
      <c r="AW18" s="8" t="s">
        <v>183</v>
      </c>
      <c r="AX18" s="9"/>
    </row>
    <row r="19">
      <c r="A19" s="16" t="s">
        <v>44</v>
      </c>
      <c r="B19" s="8"/>
      <c r="C19" s="22" t="s">
        <v>163</v>
      </c>
      <c r="D19" s="22" t="s">
        <v>169</v>
      </c>
      <c r="E19" s="22" t="s">
        <v>191</v>
      </c>
      <c r="F19" s="8"/>
      <c r="G19" s="22" t="s">
        <v>166</v>
      </c>
      <c r="H19" s="22" t="s">
        <v>206</v>
      </c>
      <c r="I19" s="22" t="s">
        <v>207</v>
      </c>
      <c r="J19" s="9"/>
      <c r="K19" s="16" t="s">
        <v>44</v>
      </c>
      <c r="L19" s="8" t="s">
        <v>173</v>
      </c>
      <c r="M19" s="8"/>
      <c r="N19" s="8"/>
      <c r="O19" s="8"/>
      <c r="P19" s="8"/>
      <c r="Q19" s="8" t="s">
        <v>175</v>
      </c>
      <c r="R19" s="8"/>
      <c r="S19" s="8"/>
      <c r="T19" s="9"/>
      <c r="U19" s="16" t="s">
        <v>44</v>
      </c>
      <c r="V19" s="8" t="s">
        <v>180</v>
      </c>
      <c r="W19" s="8"/>
      <c r="X19" s="8"/>
      <c r="Y19" s="8"/>
      <c r="Z19" s="8"/>
      <c r="AA19" s="8"/>
      <c r="AB19" s="8"/>
      <c r="AC19" s="8"/>
      <c r="AD19" s="9"/>
      <c r="AE19" s="16" t="s">
        <v>44</v>
      </c>
      <c r="AF19" s="8"/>
      <c r="AG19" s="8"/>
      <c r="AH19" s="8"/>
      <c r="AI19" s="8"/>
      <c r="AJ19" s="8"/>
      <c r="AK19" s="8"/>
      <c r="AL19" s="8"/>
      <c r="AM19" s="8"/>
      <c r="AN19" s="9"/>
      <c r="AO19" s="16" t="s">
        <v>44</v>
      </c>
      <c r="AP19" s="8"/>
      <c r="AQ19" s="8"/>
      <c r="AR19" s="8"/>
      <c r="AS19" s="8"/>
      <c r="AT19" s="8"/>
      <c r="AU19" s="8"/>
      <c r="AV19" s="8" t="s">
        <v>215</v>
      </c>
      <c r="AW19" s="8"/>
      <c r="AX19" s="9"/>
    </row>
    <row r="20">
      <c r="A20" s="16" t="s">
        <v>47</v>
      </c>
      <c r="B20" s="8"/>
      <c r="C20" s="22" t="s">
        <v>191</v>
      </c>
      <c r="D20" s="22" t="s">
        <v>167</v>
      </c>
      <c r="E20" s="8"/>
      <c r="F20" s="22" t="s">
        <v>171</v>
      </c>
      <c r="G20" s="22" t="s">
        <v>223</v>
      </c>
      <c r="H20" s="22" t="s">
        <v>206</v>
      </c>
      <c r="I20" s="8"/>
      <c r="J20" s="9"/>
      <c r="K20" s="16" t="s">
        <v>47</v>
      </c>
      <c r="L20" s="8" t="s">
        <v>178</v>
      </c>
      <c r="M20" s="8"/>
      <c r="N20" s="8"/>
      <c r="O20" s="8"/>
      <c r="P20" s="8"/>
      <c r="Q20" s="8"/>
      <c r="R20" s="8" t="s">
        <v>175</v>
      </c>
      <c r="S20" s="8" t="s">
        <v>175</v>
      </c>
      <c r="T20" s="9"/>
      <c r="U20" s="16" t="s">
        <v>47</v>
      </c>
      <c r="V20" s="8" t="s">
        <v>193</v>
      </c>
      <c r="W20" s="8"/>
      <c r="X20" s="8"/>
      <c r="Y20" s="8"/>
      <c r="Z20" s="8" t="s">
        <v>180</v>
      </c>
      <c r="AA20" s="8"/>
      <c r="AB20" s="8"/>
      <c r="AC20" s="8"/>
      <c r="AD20" s="9"/>
      <c r="AE20" s="16" t="s">
        <v>47</v>
      </c>
      <c r="AF20" s="8"/>
      <c r="AG20" s="8"/>
      <c r="AH20" s="8"/>
      <c r="AI20" s="8"/>
      <c r="AJ20" s="8"/>
      <c r="AK20" s="8"/>
      <c r="AL20" s="8"/>
      <c r="AM20" s="8"/>
      <c r="AN20" s="9"/>
      <c r="AO20" s="16" t="s">
        <v>47</v>
      </c>
      <c r="AP20" s="8"/>
      <c r="AQ20" s="8"/>
      <c r="AR20" s="8"/>
      <c r="AS20" s="8"/>
      <c r="AT20" s="8" t="s">
        <v>215</v>
      </c>
      <c r="AU20" s="8"/>
      <c r="AV20" s="8"/>
      <c r="AW20" s="8"/>
      <c r="AX20" s="9"/>
    </row>
    <row r="21" ht="15.75" customHeight="1">
      <c r="A21" s="23" t="s">
        <v>54</v>
      </c>
      <c r="B21" s="24"/>
      <c r="C21" s="26" t="s">
        <v>167</v>
      </c>
      <c r="D21" s="26" t="s">
        <v>166</v>
      </c>
      <c r="E21" s="26" t="s">
        <v>207</v>
      </c>
      <c r="F21" s="24"/>
      <c r="G21" s="26" t="s">
        <v>171</v>
      </c>
      <c r="H21" s="26" t="s">
        <v>191</v>
      </c>
      <c r="I21" s="26" t="s">
        <v>163</v>
      </c>
      <c r="J21" s="25"/>
      <c r="K21" s="23" t="s">
        <v>54</v>
      </c>
      <c r="L21" s="24" t="s">
        <v>173</v>
      </c>
      <c r="M21" s="24"/>
      <c r="N21" s="24" t="s">
        <v>175</v>
      </c>
      <c r="O21" s="24"/>
      <c r="P21" s="24" t="s">
        <v>178</v>
      </c>
      <c r="Q21" s="24"/>
      <c r="R21" s="24"/>
      <c r="S21" s="24"/>
      <c r="T21" s="25"/>
      <c r="U21" s="23" t="s">
        <v>54</v>
      </c>
      <c r="V21" s="24" t="s">
        <v>180</v>
      </c>
      <c r="W21" s="24"/>
      <c r="X21" s="24"/>
      <c r="Y21" s="24"/>
      <c r="Z21" s="24"/>
      <c r="AA21" s="24"/>
      <c r="AB21" s="24"/>
      <c r="AC21" s="24"/>
      <c r="AD21" s="25"/>
      <c r="AE21" s="23" t="s">
        <v>54</v>
      </c>
      <c r="AF21" s="24"/>
      <c r="AG21" s="24"/>
      <c r="AH21" s="24"/>
      <c r="AI21" s="24"/>
      <c r="AJ21" s="24"/>
      <c r="AK21" s="24"/>
      <c r="AL21" s="24"/>
      <c r="AM21" s="24"/>
      <c r="AN21" s="25"/>
      <c r="AO21" s="23" t="s">
        <v>54</v>
      </c>
      <c r="AP21" s="24"/>
      <c r="AQ21" s="24"/>
      <c r="AR21" s="24"/>
      <c r="AS21" s="24"/>
      <c r="AT21" s="24" t="s">
        <v>183</v>
      </c>
      <c r="AU21" s="24"/>
      <c r="AV21" s="24"/>
      <c r="AW21" s="24"/>
      <c r="AX21" s="25"/>
    </row>
    <row r="22" ht="15.75" customHeight="1">
      <c r="A22" s="11" t="s">
        <v>123</v>
      </c>
      <c r="B22" s="8"/>
      <c r="C22" s="8"/>
      <c r="D22" s="8"/>
      <c r="E22" s="8"/>
      <c r="F22" s="8"/>
      <c r="G22" s="8"/>
      <c r="H22" s="8"/>
      <c r="I22" s="8"/>
      <c r="J22" s="9"/>
      <c r="K22" s="11" t="s">
        <v>127</v>
      </c>
      <c r="L22" s="8"/>
      <c r="M22" s="8"/>
      <c r="N22" s="8"/>
      <c r="O22" s="8"/>
      <c r="P22" s="8"/>
      <c r="Q22" s="8"/>
      <c r="R22" s="8"/>
      <c r="S22" s="8"/>
      <c r="T22" s="9"/>
      <c r="U22" s="11" t="s">
        <v>137</v>
      </c>
      <c r="V22" s="8"/>
      <c r="W22" s="8"/>
      <c r="X22" s="8"/>
      <c r="Y22" s="8"/>
      <c r="Z22" s="8"/>
      <c r="AA22" s="8"/>
      <c r="AB22" s="8"/>
      <c r="AC22" s="8"/>
      <c r="AD22" s="9"/>
      <c r="AE22" t="s">
        <v>143</v>
      </c>
      <c r="AF22" s="8"/>
      <c r="AG22" s="8"/>
      <c r="AH22" s="8"/>
      <c r="AI22" s="8"/>
      <c r="AJ22" s="8"/>
      <c r="AK22" s="8"/>
      <c r="AL22" s="8"/>
      <c r="AM22" s="8"/>
      <c r="AN22" s="9"/>
      <c r="AO22" s="11" t="s">
        <v>151</v>
      </c>
      <c r="AP22" s="8"/>
      <c r="AQ22" s="8"/>
      <c r="AR22" s="8"/>
      <c r="AS22" s="8"/>
      <c r="AT22" s="8"/>
      <c r="AU22" s="8"/>
      <c r="AV22" s="8"/>
      <c r="AW22" s="8"/>
      <c r="AX22" s="9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</row>
    <row r="23" ht="15.75" customHeight="1">
      <c r="A23" s="14" t="s">
        <v>28</v>
      </c>
      <c r="B23" s="16" t="s">
        <v>14</v>
      </c>
      <c r="C23" s="16" t="s">
        <v>18</v>
      </c>
      <c r="D23" s="16" t="s">
        <v>19</v>
      </c>
      <c r="E23" s="16" t="s">
        <v>20</v>
      </c>
      <c r="F23" s="16" t="s">
        <v>21</v>
      </c>
      <c r="G23" s="16" t="s">
        <v>22</v>
      </c>
      <c r="H23" s="16" t="s">
        <v>23</v>
      </c>
      <c r="I23" s="16" t="s">
        <v>24</v>
      </c>
      <c r="J23" s="20"/>
      <c r="K23" s="14" t="s">
        <v>28</v>
      </c>
      <c r="L23" s="16" t="s">
        <v>14</v>
      </c>
      <c r="M23" s="16" t="s">
        <v>18</v>
      </c>
      <c r="N23" s="16" t="s">
        <v>19</v>
      </c>
      <c r="O23" s="16" t="s">
        <v>20</v>
      </c>
      <c r="P23" s="16" t="s">
        <v>21</v>
      </c>
      <c r="Q23" s="16" t="s">
        <v>22</v>
      </c>
      <c r="R23" s="16" t="s">
        <v>23</v>
      </c>
      <c r="S23" s="16" t="s">
        <v>24</v>
      </c>
      <c r="T23" s="20"/>
      <c r="U23" s="14" t="s">
        <v>28</v>
      </c>
      <c r="V23" s="16" t="s">
        <v>14</v>
      </c>
      <c r="W23" s="16" t="s">
        <v>18</v>
      </c>
      <c r="X23" s="16" t="s">
        <v>19</v>
      </c>
      <c r="Y23" s="16" t="s">
        <v>20</v>
      </c>
      <c r="Z23" s="16" t="s">
        <v>21</v>
      </c>
      <c r="AA23" s="16" t="s">
        <v>22</v>
      </c>
      <c r="AB23" s="16" t="s">
        <v>23</v>
      </c>
      <c r="AC23" s="16" t="s">
        <v>24</v>
      </c>
      <c r="AD23" s="20"/>
      <c r="AE23" s="14" t="s">
        <v>28</v>
      </c>
      <c r="AF23" s="16" t="s">
        <v>14</v>
      </c>
      <c r="AG23" s="16" t="s">
        <v>18</v>
      </c>
      <c r="AH23" s="16" t="s">
        <v>19</v>
      </c>
      <c r="AI23" s="16" t="s">
        <v>20</v>
      </c>
      <c r="AJ23" s="16" t="s">
        <v>21</v>
      </c>
      <c r="AK23" s="16" t="s">
        <v>22</v>
      </c>
      <c r="AL23" s="16" t="s">
        <v>23</v>
      </c>
      <c r="AM23" s="16" t="s">
        <v>24</v>
      </c>
      <c r="AN23" s="20"/>
      <c r="AO23" s="14" t="s">
        <v>28</v>
      </c>
      <c r="AP23" s="16" t="s">
        <v>14</v>
      </c>
      <c r="AQ23" s="16" t="s">
        <v>18</v>
      </c>
      <c r="AR23" s="16" t="s">
        <v>19</v>
      </c>
      <c r="AS23" s="16" t="s">
        <v>20</v>
      </c>
      <c r="AT23" s="16" t="s">
        <v>21</v>
      </c>
      <c r="AU23" s="16" t="s">
        <v>22</v>
      </c>
      <c r="AV23" s="16" t="s">
        <v>23</v>
      </c>
      <c r="AW23" s="16" t="s">
        <v>24</v>
      </c>
      <c r="AX23" s="20"/>
    </row>
    <row r="24" ht="15.75" customHeight="1">
      <c r="A24" s="16" t="s">
        <v>33</v>
      </c>
      <c r="B24" s="8" t="s">
        <v>258</v>
      </c>
      <c r="C24" s="8"/>
      <c r="D24" s="8"/>
      <c r="E24" s="8"/>
      <c r="F24" s="8"/>
      <c r="G24" s="8" t="s">
        <v>259</v>
      </c>
      <c r="H24" s="8"/>
      <c r="I24" s="8"/>
      <c r="J24" s="9"/>
      <c r="K24" s="16" t="s">
        <v>33</v>
      </c>
      <c r="L24" s="8"/>
      <c r="M24" s="8" t="s">
        <v>261</v>
      </c>
      <c r="N24" s="8" t="s">
        <v>262</v>
      </c>
      <c r="O24" s="8"/>
      <c r="P24" s="8" t="s">
        <v>264</v>
      </c>
      <c r="Q24" s="8" t="s">
        <v>266</v>
      </c>
      <c r="R24" s="8"/>
      <c r="S24" s="8"/>
      <c r="T24" s="9"/>
      <c r="U24" s="16" t="s">
        <v>33</v>
      </c>
      <c r="V24" s="8" t="s">
        <v>267</v>
      </c>
      <c r="W24" s="8"/>
      <c r="X24" s="8"/>
      <c r="Y24" s="8"/>
      <c r="Z24" s="8"/>
      <c r="AA24" s="8"/>
      <c r="AB24" s="8" t="s">
        <v>268</v>
      </c>
      <c r="AC24" s="8" t="s">
        <v>268</v>
      </c>
      <c r="AD24" s="9"/>
      <c r="AE24" s="16" t="s">
        <v>33</v>
      </c>
      <c r="AF24" s="8"/>
      <c r="AG24" s="8"/>
      <c r="AH24" s="8"/>
      <c r="AI24" s="8"/>
      <c r="AJ24" s="8"/>
      <c r="AK24" s="8"/>
      <c r="AL24" s="8"/>
      <c r="AM24" s="8"/>
      <c r="AN24" s="9"/>
      <c r="AO24" s="16" t="s">
        <v>33</v>
      </c>
      <c r="AP24" s="8" t="s">
        <v>271</v>
      </c>
      <c r="AQ24" s="8"/>
      <c r="AR24" s="8"/>
      <c r="AS24" s="8"/>
      <c r="AT24" s="8"/>
      <c r="AU24" s="8" t="s">
        <v>273</v>
      </c>
      <c r="AV24" s="8"/>
      <c r="AW24" s="8"/>
      <c r="AX24" s="9"/>
    </row>
    <row r="25" ht="15.75" customHeight="1">
      <c r="A25" s="16" t="s">
        <v>38</v>
      </c>
      <c r="B25" s="8" t="s">
        <v>259</v>
      </c>
      <c r="C25" s="8"/>
      <c r="D25" s="8"/>
      <c r="E25" s="8"/>
      <c r="F25" s="8"/>
      <c r="G25" s="8"/>
      <c r="H25" s="8"/>
      <c r="I25" s="8"/>
      <c r="J25" s="9"/>
      <c r="K25" s="16" t="s">
        <v>38</v>
      </c>
      <c r="L25" s="22"/>
      <c r="M25" s="8" t="s">
        <v>266</v>
      </c>
      <c r="N25" s="8"/>
      <c r="O25" s="8" t="s">
        <v>262</v>
      </c>
      <c r="P25" s="8" t="s">
        <v>264</v>
      </c>
      <c r="Q25" s="8"/>
      <c r="R25" s="8" t="s">
        <v>261</v>
      </c>
      <c r="S25" s="8" t="s">
        <v>277</v>
      </c>
      <c r="T25" s="9"/>
      <c r="U25" s="16" t="s">
        <v>38</v>
      </c>
      <c r="V25" s="8" t="s">
        <v>279</v>
      </c>
      <c r="W25" s="8"/>
      <c r="X25" s="8"/>
      <c r="Y25" s="8"/>
      <c r="Z25" s="8"/>
      <c r="AA25" s="8"/>
      <c r="AB25" s="8"/>
      <c r="AC25" s="8"/>
      <c r="AD25" s="9"/>
      <c r="AE25" s="16" t="s">
        <v>38</v>
      </c>
      <c r="AF25" s="8"/>
      <c r="AG25" s="8" t="s">
        <v>282</v>
      </c>
      <c r="AH25" s="8" t="s">
        <v>282</v>
      </c>
      <c r="AI25" s="8"/>
      <c r="AJ25" s="8"/>
      <c r="AK25" s="8"/>
      <c r="AL25" s="8"/>
      <c r="AM25" s="8"/>
      <c r="AN25" s="9"/>
      <c r="AO25" s="16" t="s">
        <v>38</v>
      </c>
      <c r="AP25" s="8" t="s">
        <v>273</v>
      </c>
      <c r="AQ25" s="8"/>
      <c r="AR25" s="8"/>
      <c r="AS25" s="8"/>
      <c r="AT25" s="8"/>
      <c r="AU25" s="8"/>
      <c r="AV25" s="8"/>
      <c r="AW25" s="8"/>
      <c r="AX25" s="9"/>
    </row>
    <row r="26" ht="15.75" customHeight="1">
      <c r="A26" s="16" t="s">
        <v>44</v>
      </c>
      <c r="B26" s="8" t="s">
        <v>258</v>
      </c>
      <c r="C26" s="8"/>
      <c r="D26" s="8"/>
      <c r="E26" s="8"/>
      <c r="F26" s="8"/>
      <c r="G26" s="8"/>
      <c r="H26" s="8"/>
      <c r="I26" s="8"/>
      <c r="J26" s="9"/>
      <c r="K26" s="16" t="s">
        <v>44</v>
      </c>
      <c r="L26" s="8"/>
      <c r="M26" s="8"/>
      <c r="N26" s="8"/>
      <c r="O26" s="8" t="s">
        <v>277</v>
      </c>
      <c r="P26" s="8" t="s">
        <v>262</v>
      </c>
      <c r="Q26" s="8"/>
      <c r="R26" s="8" t="s">
        <v>285</v>
      </c>
      <c r="S26" s="8"/>
      <c r="T26" s="9"/>
      <c r="U26" s="16" t="s">
        <v>44</v>
      </c>
      <c r="V26" s="8" t="s">
        <v>267</v>
      </c>
      <c r="W26" s="8"/>
      <c r="X26" s="8"/>
      <c r="Y26" s="8"/>
      <c r="Z26" s="8"/>
      <c r="AA26" s="8"/>
      <c r="AB26" s="8"/>
      <c r="AC26" s="8"/>
      <c r="AD26" s="9"/>
      <c r="AE26" s="16" t="s">
        <v>44</v>
      </c>
      <c r="AF26" s="8"/>
      <c r="AG26" s="8" t="s">
        <v>286</v>
      </c>
      <c r="AH26" s="8" t="s">
        <v>286</v>
      </c>
      <c r="AI26" s="8"/>
      <c r="AJ26" s="8"/>
      <c r="AK26" s="8"/>
      <c r="AL26" s="8"/>
      <c r="AM26" s="8"/>
      <c r="AN26" s="9"/>
      <c r="AO26" s="16" t="s">
        <v>44</v>
      </c>
      <c r="AP26" s="8" t="s">
        <v>271</v>
      </c>
      <c r="AQ26" s="8"/>
      <c r="AR26" s="8" t="s">
        <v>273</v>
      </c>
      <c r="AS26" s="8"/>
      <c r="AT26" s="8"/>
      <c r="AU26" s="8"/>
      <c r="AV26" s="8"/>
      <c r="AW26" s="8"/>
      <c r="AX26" s="9"/>
    </row>
    <row r="27" ht="15.75" customHeight="1">
      <c r="A27" s="16" t="s">
        <v>47</v>
      </c>
      <c r="B27" s="8" t="s">
        <v>259</v>
      </c>
      <c r="C27" s="8"/>
      <c r="D27" s="8"/>
      <c r="E27" s="8"/>
      <c r="F27" s="8"/>
      <c r="G27" s="8"/>
      <c r="H27" s="8"/>
      <c r="I27" s="8"/>
      <c r="J27" s="9"/>
      <c r="K27" s="16" t="s">
        <v>47</v>
      </c>
      <c r="L27" s="22"/>
      <c r="M27" s="8" t="s">
        <v>277</v>
      </c>
      <c r="N27" s="8" t="s">
        <v>264</v>
      </c>
      <c r="O27" s="8" t="s">
        <v>261</v>
      </c>
      <c r="P27" s="8"/>
      <c r="Q27" s="8" t="s">
        <v>292</v>
      </c>
      <c r="R27" s="8" t="s">
        <v>285</v>
      </c>
      <c r="S27" s="8" t="s">
        <v>266</v>
      </c>
      <c r="T27" s="9"/>
      <c r="U27" s="16" t="s">
        <v>47</v>
      </c>
      <c r="V27" s="8" t="s">
        <v>279</v>
      </c>
      <c r="W27" s="8"/>
      <c r="X27" s="8"/>
      <c r="Y27" s="8"/>
      <c r="Z27" s="8"/>
      <c r="AA27" s="8"/>
      <c r="AB27" s="8"/>
      <c r="AC27" s="8"/>
      <c r="AD27" s="9"/>
      <c r="AE27" s="16" t="s">
        <v>47</v>
      </c>
      <c r="AF27" s="8"/>
      <c r="AG27" s="8" t="s">
        <v>294</v>
      </c>
      <c r="AH27" s="8"/>
      <c r="AI27" s="8"/>
      <c r="AJ27" s="8"/>
      <c r="AK27" s="8"/>
      <c r="AL27" s="8"/>
      <c r="AM27" s="8" t="s">
        <v>294</v>
      </c>
      <c r="AN27" s="9"/>
      <c r="AO27" s="16" t="s">
        <v>47</v>
      </c>
      <c r="AP27" s="8" t="s">
        <v>273</v>
      </c>
      <c r="AQ27" s="8"/>
      <c r="AR27" s="8"/>
      <c r="AS27" s="8"/>
      <c r="AT27" s="8"/>
      <c r="AU27" s="8"/>
      <c r="AV27" s="8"/>
      <c r="AW27" s="8"/>
      <c r="AX27" s="9"/>
    </row>
    <row r="28" ht="15.75" customHeight="1">
      <c r="A28" s="23" t="s">
        <v>54</v>
      </c>
      <c r="B28" s="24" t="s">
        <v>258</v>
      </c>
      <c r="C28" s="24"/>
      <c r="D28" s="24" t="s">
        <v>259</v>
      </c>
      <c r="E28" s="24"/>
      <c r="F28" s="24"/>
      <c r="G28" s="24"/>
      <c r="H28" s="24"/>
      <c r="I28" s="24"/>
      <c r="J28" s="25"/>
      <c r="K28" s="23" t="s">
        <v>54</v>
      </c>
      <c r="L28" s="24"/>
      <c r="M28" s="24" t="s">
        <v>264</v>
      </c>
      <c r="N28" s="24" t="s">
        <v>262</v>
      </c>
      <c r="O28" s="24"/>
      <c r="P28" s="24" t="s">
        <v>266</v>
      </c>
      <c r="Q28" s="24"/>
      <c r="R28" s="24" t="s">
        <v>277</v>
      </c>
      <c r="S28" s="24" t="s">
        <v>261</v>
      </c>
      <c r="T28" s="25"/>
      <c r="U28" s="23" t="s">
        <v>54</v>
      </c>
      <c r="V28" s="24" t="s">
        <v>267</v>
      </c>
      <c r="W28" s="24"/>
      <c r="X28" s="24"/>
      <c r="Y28" s="24"/>
      <c r="Z28" s="24"/>
      <c r="AA28" s="24"/>
      <c r="AB28" s="24"/>
      <c r="AC28" s="24"/>
      <c r="AD28" s="25"/>
      <c r="AE28" s="23" t="s">
        <v>54</v>
      </c>
      <c r="AF28" s="24"/>
      <c r="AG28" s="24"/>
      <c r="AH28" s="24" t="s">
        <v>282</v>
      </c>
      <c r="AI28" s="24"/>
      <c r="AJ28" s="24"/>
      <c r="AK28" s="24"/>
      <c r="AL28" s="24"/>
      <c r="AM28" s="24"/>
      <c r="AN28" s="25"/>
      <c r="AO28" s="23" t="s">
        <v>54</v>
      </c>
      <c r="AP28" s="24" t="s">
        <v>271</v>
      </c>
      <c r="AQ28" s="24"/>
      <c r="AR28" s="24"/>
      <c r="AS28" s="24"/>
      <c r="AT28" s="24"/>
      <c r="AU28" s="24"/>
      <c r="AV28" s="24"/>
      <c r="AW28" s="24"/>
      <c r="AX28" s="25"/>
    </row>
    <row r="29" ht="15.75" customHeight="1">
      <c r="A29" s="11" t="s">
        <v>156</v>
      </c>
      <c r="B29" s="8"/>
      <c r="C29" s="8"/>
      <c r="D29" s="8"/>
      <c r="E29" s="8"/>
      <c r="F29" s="8"/>
      <c r="G29" s="8"/>
      <c r="H29" s="8"/>
      <c r="I29" s="8"/>
      <c r="J29" s="9"/>
      <c r="K29" s="11" t="s">
        <v>176</v>
      </c>
      <c r="L29" s="8"/>
      <c r="M29" s="8"/>
      <c r="N29" s="8"/>
      <c r="O29" s="8"/>
      <c r="P29" s="8"/>
      <c r="Q29" s="8"/>
      <c r="R29" s="8"/>
      <c r="S29" s="8"/>
      <c r="T29" s="9"/>
      <c r="U29" s="11" t="s">
        <v>187</v>
      </c>
      <c r="V29" s="8"/>
      <c r="W29" s="8"/>
      <c r="X29" s="8"/>
      <c r="Y29" s="8"/>
      <c r="Z29" s="8"/>
      <c r="AA29" s="8"/>
      <c r="AB29" s="8"/>
      <c r="AC29" s="8"/>
      <c r="AD29" s="9"/>
      <c r="AE29" s="11" t="s">
        <v>197</v>
      </c>
      <c r="AF29" s="8"/>
      <c r="AG29" s="8"/>
      <c r="AH29" s="8"/>
      <c r="AI29" s="8"/>
      <c r="AJ29" s="8"/>
      <c r="AK29" s="8"/>
      <c r="AL29" s="8"/>
      <c r="AM29" s="8"/>
      <c r="AN29" s="9"/>
      <c r="AO29" t="s">
        <v>210</v>
      </c>
      <c r="AP29" s="8"/>
      <c r="AQ29" s="8"/>
      <c r="AR29" s="8"/>
      <c r="AS29" s="8"/>
      <c r="AT29" s="8"/>
      <c r="AU29" s="8"/>
      <c r="AV29" s="8"/>
      <c r="AW29" s="8"/>
      <c r="AX29" s="9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</row>
    <row r="30" ht="15.75" customHeight="1">
      <c r="A30" s="14" t="s">
        <v>28</v>
      </c>
      <c r="B30" s="16" t="s">
        <v>14</v>
      </c>
      <c r="C30" s="16" t="s">
        <v>18</v>
      </c>
      <c r="D30" s="16" t="s">
        <v>19</v>
      </c>
      <c r="E30" s="16" t="s">
        <v>20</v>
      </c>
      <c r="F30" s="16" t="s">
        <v>21</v>
      </c>
      <c r="G30" s="16" t="s">
        <v>22</v>
      </c>
      <c r="H30" s="16" t="s">
        <v>23</v>
      </c>
      <c r="I30" s="16" t="s">
        <v>24</v>
      </c>
      <c r="J30" s="20"/>
      <c r="K30" s="14" t="s">
        <v>28</v>
      </c>
      <c r="L30" s="16" t="s">
        <v>14</v>
      </c>
      <c r="M30" s="16" t="s">
        <v>18</v>
      </c>
      <c r="N30" s="16" t="s">
        <v>19</v>
      </c>
      <c r="O30" s="16" t="s">
        <v>20</v>
      </c>
      <c r="P30" s="16" t="s">
        <v>21</v>
      </c>
      <c r="Q30" s="16" t="s">
        <v>22</v>
      </c>
      <c r="R30" s="16" t="s">
        <v>23</v>
      </c>
      <c r="S30" s="16" t="s">
        <v>24</v>
      </c>
      <c r="T30" s="20"/>
      <c r="U30" s="14" t="s">
        <v>28</v>
      </c>
      <c r="V30" s="16" t="s">
        <v>14</v>
      </c>
      <c r="W30" s="16" t="s">
        <v>18</v>
      </c>
      <c r="X30" s="16" t="s">
        <v>19</v>
      </c>
      <c r="Y30" s="16" t="s">
        <v>20</v>
      </c>
      <c r="Z30" s="16" t="s">
        <v>21</v>
      </c>
      <c r="AA30" s="16" t="s">
        <v>22</v>
      </c>
      <c r="AB30" s="16" t="s">
        <v>23</v>
      </c>
      <c r="AC30" s="16" t="s">
        <v>24</v>
      </c>
      <c r="AD30" s="20"/>
      <c r="AE30" s="14" t="s">
        <v>28</v>
      </c>
      <c r="AF30" s="16" t="s">
        <v>14</v>
      </c>
      <c r="AG30" s="16" t="s">
        <v>18</v>
      </c>
      <c r="AH30" s="16" t="s">
        <v>19</v>
      </c>
      <c r="AI30" s="16" t="s">
        <v>20</v>
      </c>
      <c r="AJ30" s="16" t="s">
        <v>21</v>
      </c>
      <c r="AK30" s="16" t="s">
        <v>22</v>
      </c>
      <c r="AL30" s="16" t="s">
        <v>23</v>
      </c>
      <c r="AM30" s="16" t="s">
        <v>24</v>
      </c>
      <c r="AN30" s="20"/>
      <c r="AO30" s="14" t="s">
        <v>28</v>
      </c>
      <c r="AP30" s="16" t="s">
        <v>14</v>
      </c>
      <c r="AQ30" s="16" t="s">
        <v>18</v>
      </c>
      <c r="AR30" s="16" t="s">
        <v>19</v>
      </c>
      <c r="AS30" s="16" t="s">
        <v>20</v>
      </c>
      <c r="AT30" s="16" t="s">
        <v>21</v>
      </c>
      <c r="AU30" s="16" t="s">
        <v>22</v>
      </c>
      <c r="AV30" s="16" t="s">
        <v>23</v>
      </c>
      <c r="AW30" s="16" t="s">
        <v>24</v>
      </c>
      <c r="AX30" s="20"/>
    </row>
    <row r="31" ht="15.75" customHeight="1">
      <c r="A31" s="16" t="s">
        <v>33</v>
      </c>
      <c r="B31" s="8" t="s">
        <v>314</v>
      </c>
      <c r="C31" s="8"/>
      <c r="D31" s="8"/>
      <c r="E31" s="8"/>
      <c r="F31" s="8"/>
      <c r="G31" s="8" t="s">
        <v>315</v>
      </c>
      <c r="H31" s="8"/>
      <c r="I31" s="8"/>
      <c r="J31" s="9"/>
      <c r="K31" s="16" t="s">
        <v>33</v>
      </c>
      <c r="L31" s="8"/>
      <c r="M31" s="8"/>
      <c r="N31" s="8"/>
      <c r="O31" s="8"/>
      <c r="P31" s="8"/>
      <c r="Q31" s="8"/>
      <c r="R31" s="8" t="s">
        <v>316</v>
      </c>
      <c r="S31" s="8" t="s">
        <v>316</v>
      </c>
      <c r="T31" s="9"/>
      <c r="U31" s="16" t="s">
        <v>33</v>
      </c>
      <c r="V31" s="22" t="s">
        <v>317</v>
      </c>
      <c r="W31" s="8"/>
      <c r="X31" s="8"/>
      <c r="Y31" s="8"/>
      <c r="Z31" s="8"/>
      <c r="AA31" s="8"/>
      <c r="AB31" s="8"/>
      <c r="AC31" s="8"/>
      <c r="AD31" s="9"/>
      <c r="AE31" s="16" t="s">
        <v>33</v>
      </c>
      <c r="AF31" s="8"/>
      <c r="AG31" s="8"/>
      <c r="AH31" s="8"/>
      <c r="AI31" s="8"/>
      <c r="AJ31" s="8"/>
      <c r="AK31" s="8"/>
      <c r="AL31" s="8"/>
      <c r="AM31" s="8" t="s">
        <v>318</v>
      </c>
      <c r="AN31" s="9"/>
      <c r="AO31" s="16" t="s">
        <v>33</v>
      </c>
      <c r="AP31" s="8" t="s">
        <v>320</v>
      </c>
      <c r="AQ31" s="8"/>
      <c r="AR31" s="8"/>
      <c r="AS31" s="8"/>
      <c r="AT31" s="8"/>
      <c r="AU31" s="8"/>
      <c r="AV31" s="8"/>
      <c r="AW31" s="8"/>
      <c r="AX31" s="9"/>
    </row>
    <row r="32" ht="15.75" customHeight="1">
      <c r="A32" s="16" t="s">
        <v>38</v>
      </c>
      <c r="B32" s="8" t="s">
        <v>325</v>
      </c>
      <c r="C32" s="8" t="s">
        <v>315</v>
      </c>
      <c r="D32" s="8"/>
      <c r="E32" s="8" t="s">
        <v>327</v>
      </c>
      <c r="F32" s="8"/>
      <c r="G32" s="8"/>
      <c r="H32" s="8"/>
      <c r="I32" s="8"/>
      <c r="J32" s="9"/>
      <c r="K32" s="16" t="s">
        <v>38</v>
      </c>
      <c r="L32" s="8" t="s">
        <v>316</v>
      </c>
      <c r="M32" s="8"/>
      <c r="N32" s="8"/>
      <c r="O32" s="8"/>
      <c r="P32" s="8"/>
      <c r="Q32" s="8"/>
      <c r="R32" s="8"/>
      <c r="S32" s="8"/>
      <c r="T32" s="9"/>
      <c r="U32" s="16" t="s">
        <v>38</v>
      </c>
      <c r="V32" s="22"/>
      <c r="W32" s="8"/>
      <c r="X32" s="8"/>
      <c r="Y32" s="8"/>
      <c r="Z32" s="8"/>
      <c r="AA32" s="8"/>
      <c r="AB32" s="8" t="s">
        <v>331</v>
      </c>
      <c r="AC32" s="8"/>
      <c r="AD32" s="9"/>
      <c r="AE32" s="16" t="s">
        <v>38</v>
      </c>
      <c r="AF32" s="8"/>
      <c r="AG32" s="8"/>
      <c r="AH32" s="8"/>
      <c r="AI32" s="8"/>
      <c r="AJ32" s="8"/>
      <c r="AK32" s="8"/>
      <c r="AL32" s="8"/>
      <c r="AM32" s="8" t="s">
        <v>334</v>
      </c>
      <c r="AN32" s="9"/>
      <c r="AO32" s="16" t="s">
        <v>38</v>
      </c>
      <c r="AP32" s="8" t="s">
        <v>320</v>
      </c>
      <c r="AQ32" s="8"/>
      <c r="AR32" s="8"/>
      <c r="AS32" s="8"/>
      <c r="AT32" s="8"/>
      <c r="AU32" s="8"/>
      <c r="AV32" s="8"/>
      <c r="AW32" s="8"/>
      <c r="AX32" s="9"/>
    </row>
    <row r="33" ht="15.75" customHeight="1">
      <c r="A33" s="16" t="s">
        <v>44</v>
      </c>
      <c r="B33" s="8" t="s">
        <v>314</v>
      </c>
      <c r="C33" s="8"/>
      <c r="D33" s="8"/>
      <c r="E33" s="8"/>
      <c r="F33" s="8"/>
      <c r="G33" s="8" t="s">
        <v>325</v>
      </c>
      <c r="H33" s="8"/>
      <c r="I33" s="8"/>
      <c r="J33" s="9"/>
      <c r="K33" s="16" t="s">
        <v>44</v>
      </c>
      <c r="L33" s="8" t="s">
        <v>316</v>
      </c>
      <c r="M33" s="8"/>
      <c r="N33" s="8"/>
      <c r="O33" s="8"/>
      <c r="P33" s="8"/>
      <c r="Q33" s="8"/>
      <c r="R33" s="8"/>
      <c r="S33" s="8"/>
      <c r="T33" s="9"/>
      <c r="U33" s="16" t="s">
        <v>44</v>
      </c>
      <c r="V33" s="22" t="s">
        <v>317</v>
      </c>
      <c r="W33" s="8"/>
      <c r="X33" s="8"/>
      <c r="Y33" s="8"/>
      <c r="Z33" s="8"/>
      <c r="AA33" s="8"/>
      <c r="AB33" s="8" t="s">
        <v>331</v>
      </c>
      <c r="AC33" s="8"/>
      <c r="AD33" s="9"/>
      <c r="AE33" s="16" t="s">
        <v>44</v>
      </c>
      <c r="AF33" s="8"/>
      <c r="AG33" s="8"/>
      <c r="AH33" s="8"/>
      <c r="AI33" s="8"/>
      <c r="AJ33" s="8"/>
      <c r="AK33" s="8"/>
      <c r="AL33" s="8"/>
      <c r="AM33" s="8" t="s">
        <v>342</v>
      </c>
      <c r="AN33" s="9"/>
      <c r="AO33" s="16" t="s">
        <v>44</v>
      </c>
      <c r="AP33" s="8" t="s">
        <v>320</v>
      </c>
      <c r="AQ33" s="8"/>
      <c r="AR33" s="8"/>
      <c r="AS33" s="8"/>
      <c r="AT33" s="8"/>
      <c r="AU33" s="8" t="s">
        <v>320</v>
      </c>
      <c r="AV33" s="8"/>
      <c r="AW33" s="8"/>
      <c r="AX33" s="9"/>
    </row>
    <row r="34" ht="15.75" customHeight="1">
      <c r="A34" s="16" t="s">
        <v>47</v>
      </c>
      <c r="B34" s="8" t="s">
        <v>325</v>
      </c>
      <c r="C34" s="8" t="s">
        <v>315</v>
      </c>
      <c r="D34" s="8"/>
      <c r="E34" s="8" t="s">
        <v>327</v>
      </c>
      <c r="F34" s="8"/>
      <c r="G34" s="8"/>
      <c r="H34" s="8"/>
      <c r="I34" s="8"/>
      <c r="J34" s="9"/>
      <c r="K34" s="16" t="s">
        <v>47</v>
      </c>
      <c r="L34" s="8" t="s">
        <v>316</v>
      </c>
      <c r="M34" s="8"/>
      <c r="N34" s="8" t="s">
        <v>347</v>
      </c>
      <c r="O34" s="8" t="s">
        <v>347</v>
      </c>
      <c r="P34" s="8"/>
      <c r="Q34" s="8"/>
      <c r="R34" s="8"/>
      <c r="S34" s="8" t="s">
        <v>347</v>
      </c>
      <c r="T34" s="9"/>
      <c r="U34" s="16" t="s">
        <v>47</v>
      </c>
      <c r="V34" s="22"/>
      <c r="W34" s="8"/>
      <c r="X34" s="8"/>
      <c r="Y34" s="8"/>
      <c r="Z34" s="8" t="s">
        <v>331</v>
      </c>
      <c r="AA34" s="8"/>
      <c r="AB34" s="8"/>
      <c r="AC34" s="8"/>
      <c r="AD34" s="9"/>
      <c r="AE34" s="16" t="s">
        <v>47</v>
      </c>
      <c r="AF34" s="8"/>
      <c r="AG34" s="8"/>
      <c r="AH34" s="8"/>
      <c r="AI34" s="8"/>
      <c r="AJ34" s="8"/>
      <c r="AK34" s="8"/>
      <c r="AL34" s="8"/>
      <c r="AM34" s="8" t="s">
        <v>349</v>
      </c>
      <c r="AN34" s="9"/>
      <c r="AO34" s="16" t="s">
        <v>47</v>
      </c>
      <c r="AP34" s="8" t="s">
        <v>320</v>
      </c>
      <c r="AQ34" s="8" t="s">
        <v>353</v>
      </c>
      <c r="AR34" s="8" t="s">
        <v>353</v>
      </c>
      <c r="AS34" s="8"/>
      <c r="AT34" s="8"/>
      <c r="AU34" s="8"/>
      <c r="AV34" s="8"/>
      <c r="AW34" s="8"/>
      <c r="AX34" s="9"/>
    </row>
    <row r="35" ht="15.75" customHeight="1">
      <c r="A35" s="23" t="s">
        <v>54</v>
      </c>
      <c r="B35" s="24" t="s">
        <v>314</v>
      </c>
      <c r="C35" s="24"/>
      <c r="D35" s="24"/>
      <c r="E35" s="24"/>
      <c r="F35" s="24"/>
      <c r="G35" s="24"/>
      <c r="H35" s="24"/>
      <c r="I35" s="24" t="s">
        <v>327</v>
      </c>
      <c r="J35" s="25"/>
      <c r="K35" s="23" t="s">
        <v>54</v>
      </c>
      <c r="L35" s="24" t="s">
        <v>316</v>
      </c>
      <c r="M35" s="24"/>
      <c r="N35" s="24"/>
      <c r="O35" s="24"/>
      <c r="P35" s="24"/>
      <c r="Q35" s="24"/>
      <c r="R35" s="24"/>
      <c r="S35" s="24"/>
      <c r="T35" s="25"/>
      <c r="U35" s="23" t="s">
        <v>54</v>
      </c>
      <c r="V35" s="26" t="s">
        <v>317</v>
      </c>
      <c r="W35" s="24"/>
      <c r="X35" s="24"/>
      <c r="Y35" s="24"/>
      <c r="Z35" s="24"/>
      <c r="AA35" s="24"/>
      <c r="AB35" s="24"/>
      <c r="AC35" s="24"/>
      <c r="AD35" s="25"/>
      <c r="AE35" s="23" t="s">
        <v>54</v>
      </c>
      <c r="AF35" s="24"/>
      <c r="AG35" s="24"/>
      <c r="AH35" s="24"/>
      <c r="AI35" s="24"/>
      <c r="AJ35" s="24"/>
      <c r="AK35" s="24"/>
      <c r="AL35" s="24"/>
      <c r="AM35" s="24" t="s">
        <v>357</v>
      </c>
      <c r="AN35" s="25"/>
      <c r="AO35" s="23" t="s">
        <v>54</v>
      </c>
      <c r="AP35" s="24" t="s">
        <v>320</v>
      </c>
      <c r="AQ35" s="24"/>
      <c r="AR35" s="24"/>
      <c r="AS35" s="24"/>
      <c r="AT35" s="24"/>
      <c r="AU35" s="24"/>
      <c r="AV35" s="24"/>
      <c r="AW35" s="24"/>
      <c r="AX35" s="25"/>
    </row>
    <row r="36" ht="15.75" customHeight="1">
      <c r="A36" s="11" t="s">
        <v>220</v>
      </c>
      <c r="B36" s="8"/>
      <c r="C36" s="8"/>
      <c r="D36" s="8"/>
      <c r="E36" s="8"/>
      <c r="F36" s="8"/>
      <c r="G36" s="8"/>
      <c r="H36" s="8"/>
      <c r="I36" s="8"/>
      <c r="J36" s="9"/>
      <c r="K36" s="11" t="s">
        <v>164</v>
      </c>
      <c r="L36" s="8"/>
      <c r="M36" s="8"/>
      <c r="N36" s="8"/>
      <c r="O36" s="8"/>
      <c r="P36" s="8"/>
      <c r="Q36" s="8"/>
      <c r="R36" s="8"/>
      <c r="S36" s="8"/>
      <c r="T36" s="9"/>
      <c r="U36" s="11" t="s">
        <v>234</v>
      </c>
      <c r="V36" s="8"/>
      <c r="W36" s="8"/>
      <c r="X36" s="8"/>
      <c r="Y36" s="8"/>
      <c r="Z36" s="8"/>
      <c r="AA36" s="8"/>
      <c r="AB36" s="8"/>
      <c r="AC36" s="8"/>
      <c r="AD36" s="9"/>
      <c r="AE36" s="11" t="s">
        <v>248</v>
      </c>
      <c r="AF36" s="8"/>
      <c r="AG36" s="8"/>
      <c r="AH36" s="8"/>
      <c r="AI36" s="8"/>
      <c r="AJ36" s="8"/>
      <c r="AK36" s="8"/>
      <c r="AL36" s="8"/>
      <c r="AM36" s="8"/>
      <c r="AN36" s="9"/>
      <c r="AO36" s="11" t="s">
        <v>233</v>
      </c>
      <c r="AP36" s="8"/>
      <c r="AQ36" s="8"/>
      <c r="AR36" s="8"/>
      <c r="AS36" s="8"/>
      <c r="AT36" s="8"/>
      <c r="AU36" s="8"/>
      <c r="AV36" s="8"/>
      <c r="AW36" s="8"/>
      <c r="AX36" s="9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</row>
    <row r="37" ht="15.75" customHeight="1">
      <c r="A37" s="14" t="s">
        <v>28</v>
      </c>
      <c r="B37" s="16" t="s">
        <v>14</v>
      </c>
      <c r="C37" s="16" t="s">
        <v>18</v>
      </c>
      <c r="D37" s="16" t="s">
        <v>19</v>
      </c>
      <c r="E37" s="16" t="s">
        <v>20</v>
      </c>
      <c r="F37" s="16" t="s">
        <v>21</v>
      </c>
      <c r="G37" s="16" t="s">
        <v>22</v>
      </c>
      <c r="H37" s="16" t="s">
        <v>23</v>
      </c>
      <c r="I37" s="16" t="s">
        <v>24</v>
      </c>
      <c r="J37" s="20"/>
      <c r="K37" s="14" t="s">
        <v>28</v>
      </c>
      <c r="L37" s="16" t="s">
        <v>14</v>
      </c>
      <c r="M37" s="16" t="s">
        <v>18</v>
      </c>
      <c r="N37" s="16" t="s">
        <v>19</v>
      </c>
      <c r="O37" s="16" t="s">
        <v>20</v>
      </c>
      <c r="P37" s="16" t="s">
        <v>21</v>
      </c>
      <c r="Q37" s="16" t="s">
        <v>22</v>
      </c>
      <c r="R37" s="16" t="s">
        <v>23</v>
      </c>
      <c r="S37" s="16" t="s">
        <v>24</v>
      </c>
      <c r="T37" s="20"/>
      <c r="U37" s="14" t="s">
        <v>28</v>
      </c>
      <c r="V37" s="16" t="s">
        <v>14</v>
      </c>
      <c r="W37" s="16" t="s">
        <v>18</v>
      </c>
      <c r="X37" s="16" t="s">
        <v>19</v>
      </c>
      <c r="Y37" s="16" t="s">
        <v>20</v>
      </c>
      <c r="Z37" s="16" t="s">
        <v>21</v>
      </c>
      <c r="AA37" s="16" t="s">
        <v>22</v>
      </c>
      <c r="AB37" s="16" t="s">
        <v>23</v>
      </c>
      <c r="AC37" s="16" t="s">
        <v>24</v>
      </c>
      <c r="AD37" s="20"/>
      <c r="AE37" s="14" t="s">
        <v>28</v>
      </c>
      <c r="AF37" s="16" t="s">
        <v>14</v>
      </c>
      <c r="AG37" s="16" t="s">
        <v>18</v>
      </c>
      <c r="AH37" s="16" t="s">
        <v>19</v>
      </c>
      <c r="AI37" s="16" t="s">
        <v>20</v>
      </c>
      <c r="AJ37" s="16" t="s">
        <v>21</v>
      </c>
      <c r="AK37" s="16" t="s">
        <v>22</v>
      </c>
      <c r="AL37" s="16" t="s">
        <v>23</v>
      </c>
      <c r="AM37" s="16" t="s">
        <v>24</v>
      </c>
      <c r="AN37" s="20"/>
      <c r="AO37" s="14" t="s">
        <v>28</v>
      </c>
      <c r="AP37" s="16" t="s">
        <v>14</v>
      </c>
      <c r="AQ37" s="16" t="s">
        <v>18</v>
      </c>
      <c r="AR37" s="16" t="s">
        <v>19</v>
      </c>
      <c r="AS37" s="16" t="s">
        <v>20</v>
      </c>
      <c r="AT37" s="16" t="s">
        <v>21</v>
      </c>
      <c r="AU37" s="16" t="s">
        <v>22</v>
      </c>
      <c r="AV37" s="16" t="s">
        <v>23</v>
      </c>
      <c r="AW37" s="16" t="s">
        <v>24</v>
      </c>
      <c r="AX37" s="20"/>
    </row>
    <row r="38" ht="15.75" customHeight="1">
      <c r="A38" s="16" t="s">
        <v>33</v>
      </c>
      <c r="B38" s="8" t="s">
        <v>373</v>
      </c>
      <c r="C38" s="8"/>
      <c r="D38" s="8"/>
      <c r="E38" s="8"/>
      <c r="F38" s="8"/>
      <c r="G38" s="8"/>
      <c r="H38" s="8"/>
      <c r="I38" s="8"/>
      <c r="J38" s="9"/>
      <c r="K38" s="16" t="s">
        <v>33</v>
      </c>
      <c r="L38" s="8" t="s">
        <v>374</v>
      </c>
      <c r="M38" s="8"/>
      <c r="N38" s="8"/>
      <c r="O38" s="8"/>
      <c r="P38" s="8"/>
      <c r="Q38" s="8"/>
      <c r="R38" s="8"/>
      <c r="S38" s="8"/>
      <c r="T38" s="9"/>
      <c r="U38" s="16" t="s">
        <v>33</v>
      </c>
      <c r="V38" s="8"/>
      <c r="W38" s="8"/>
      <c r="X38" s="8"/>
      <c r="Y38" s="8" t="s">
        <v>183</v>
      </c>
      <c r="Z38" s="8"/>
      <c r="AA38" s="8" t="s">
        <v>375</v>
      </c>
      <c r="AB38" s="8" t="s">
        <v>376</v>
      </c>
      <c r="AC38" s="8" t="s">
        <v>377</v>
      </c>
      <c r="AD38" s="9"/>
      <c r="AE38" s="16" t="s">
        <v>33</v>
      </c>
      <c r="AF38" s="8" t="s">
        <v>378</v>
      </c>
      <c r="AG38" s="8"/>
      <c r="AH38" s="8"/>
      <c r="AI38" s="8"/>
      <c r="AJ38" s="8"/>
      <c r="AK38" s="8"/>
      <c r="AL38" s="8"/>
      <c r="AM38" s="8"/>
      <c r="AN38" s="9"/>
      <c r="AO38" s="16" t="s">
        <v>33</v>
      </c>
      <c r="AP38" s="8"/>
      <c r="AQ38" s="8" t="s">
        <v>261</v>
      </c>
      <c r="AR38" s="8" t="s">
        <v>379</v>
      </c>
      <c r="AS38" s="8"/>
      <c r="AT38" s="8" t="s">
        <v>264</v>
      </c>
      <c r="AU38" s="8" t="s">
        <v>380</v>
      </c>
      <c r="AV38" s="8" t="s">
        <v>169</v>
      </c>
      <c r="AW38" s="8"/>
      <c r="AX38" s="9"/>
    </row>
    <row r="39" ht="15.75" customHeight="1">
      <c r="A39" s="16" t="s">
        <v>38</v>
      </c>
      <c r="B39" s="8" t="s">
        <v>381</v>
      </c>
      <c r="C39" s="8"/>
      <c r="D39" s="8"/>
      <c r="E39" s="8"/>
      <c r="F39" s="8"/>
      <c r="G39" s="8"/>
      <c r="H39" s="8"/>
      <c r="I39" s="8"/>
      <c r="J39" s="9"/>
      <c r="K39" s="16" t="s">
        <v>38</v>
      </c>
      <c r="L39" s="8" t="s">
        <v>382</v>
      </c>
      <c r="M39" s="8"/>
      <c r="N39" s="8"/>
      <c r="O39" s="8"/>
      <c r="P39" s="8"/>
      <c r="Q39" s="8"/>
      <c r="R39" s="8"/>
      <c r="S39" s="8"/>
      <c r="T39" s="9"/>
      <c r="U39" s="16" t="s">
        <v>38</v>
      </c>
      <c r="V39" s="8"/>
      <c r="W39" s="8"/>
      <c r="X39" s="8"/>
      <c r="Y39" s="8"/>
      <c r="Z39" s="8"/>
      <c r="AA39" s="8" t="s">
        <v>383</v>
      </c>
      <c r="AB39" s="8"/>
      <c r="AC39" s="8" t="s">
        <v>183</v>
      </c>
      <c r="AD39" s="9"/>
      <c r="AE39" s="16" t="s">
        <v>38</v>
      </c>
      <c r="AF39" s="8" t="s">
        <v>384</v>
      </c>
      <c r="AG39" s="8"/>
      <c r="AH39" s="8" t="s">
        <v>378</v>
      </c>
      <c r="AI39" s="8"/>
      <c r="AJ39" s="8"/>
      <c r="AK39" s="8"/>
      <c r="AL39" s="8"/>
      <c r="AM39" s="8"/>
      <c r="AN39" s="9"/>
      <c r="AO39" s="16" t="s">
        <v>38</v>
      </c>
      <c r="AP39" s="8"/>
      <c r="AQ39" s="8" t="s">
        <v>380</v>
      </c>
      <c r="AR39" s="8"/>
      <c r="AS39" s="8" t="s">
        <v>379</v>
      </c>
      <c r="AT39" s="8" t="s">
        <v>264</v>
      </c>
      <c r="AU39" s="8"/>
      <c r="AV39" s="8" t="s">
        <v>261</v>
      </c>
      <c r="AW39" s="8" t="s">
        <v>277</v>
      </c>
      <c r="AX39" s="9"/>
    </row>
    <row r="40" ht="15.75" customHeight="1">
      <c r="A40" s="16" t="s">
        <v>44</v>
      </c>
      <c r="B40" s="8" t="s">
        <v>373</v>
      </c>
      <c r="C40" s="8"/>
      <c r="D40" s="8"/>
      <c r="E40" s="8"/>
      <c r="F40" s="8"/>
      <c r="G40" s="8"/>
      <c r="H40" s="8"/>
      <c r="I40" s="8"/>
      <c r="J40" s="9"/>
      <c r="K40" s="16" t="s">
        <v>44</v>
      </c>
      <c r="L40" s="8" t="s">
        <v>374</v>
      </c>
      <c r="M40" s="8"/>
      <c r="N40" s="8"/>
      <c r="O40" s="8"/>
      <c r="P40" s="8"/>
      <c r="Q40" s="8" t="s">
        <v>382</v>
      </c>
      <c r="R40" s="8"/>
      <c r="S40" s="8"/>
      <c r="T40" s="9"/>
      <c r="U40" s="16" t="s">
        <v>44</v>
      </c>
      <c r="V40" s="8"/>
      <c r="W40" s="8"/>
      <c r="X40" s="8"/>
      <c r="Y40" s="8"/>
      <c r="Z40" s="8"/>
      <c r="AA40" s="8" t="s">
        <v>385</v>
      </c>
      <c r="AB40" s="8" t="s">
        <v>215</v>
      </c>
      <c r="AC40" s="8" t="s">
        <v>386</v>
      </c>
      <c r="AD40" s="9"/>
      <c r="AE40" s="16" t="s">
        <v>44</v>
      </c>
      <c r="AF40" s="8" t="s">
        <v>378</v>
      </c>
      <c r="AG40" s="8"/>
      <c r="AH40" s="8"/>
      <c r="AI40" s="8"/>
      <c r="AJ40" s="8"/>
      <c r="AK40" s="8"/>
      <c r="AL40" s="8"/>
      <c r="AM40" s="8"/>
      <c r="AN40" s="9"/>
      <c r="AO40" s="16" t="s">
        <v>44</v>
      </c>
      <c r="AP40" s="8"/>
      <c r="AQ40" s="8"/>
      <c r="AR40" s="8" t="s">
        <v>169</v>
      </c>
      <c r="AS40" s="8" t="s">
        <v>277</v>
      </c>
      <c r="AT40" s="8" t="s">
        <v>379</v>
      </c>
      <c r="AU40" s="8"/>
      <c r="AV40" s="8" t="s">
        <v>285</v>
      </c>
      <c r="AW40" s="8"/>
      <c r="AX40" s="9"/>
    </row>
    <row r="41" ht="15.75" customHeight="1">
      <c r="A41" s="16" t="s">
        <v>47</v>
      </c>
      <c r="B41" s="8" t="s">
        <v>381</v>
      </c>
      <c r="C41" s="8"/>
      <c r="D41" s="8"/>
      <c r="E41" s="8"/>
      <c r="F41" s="8"/>
      <c r="G41" s="8"/>
      <c r="H41" s="8"/>
      <c r="I41" s="8"/>
      <c r="J41" s="9"/>
      <c r="K41" s="16" t="s">
        <v>47</v>
      </c>
      <c r="L41" s="8" t="s">
        <v>382</v>
      </c>
      <c r="M41" s="8"/>
      <c r="N41" s="8"/>
      <c r="O41" s="8"/>
      <c r="P41" s="8"/>
      <c r="Q41" s="8"/>
      <c r="R41" s="8"/>
      <c r="S41" s="8"/>
      <c r="T41" s="9"/>
      <c r="U41" s="16" t="s">
        <v>47</v>
      </c>
      <c r="V41" s="8"/>
      <c r="W41" s="8"/>
      <c r="X41" s="8"/>
      <c r="Y41" s="8"/>
      <c r="Z41" s="8" t="s">
        <v>215</v>
      </c>
      <c r="AA41" s="8" t="s">
        <v>387</v>
      </c>
      <c r="AB41" s="8"/>
      <c r="AC41" s="8"/>
      <c r="AD41" s="9"/>
      <c r="AE41" s="16" t="s">
        <v>47</v>
      </c>
      <c r="AF41" s="8" t="s">
        <v>384</v>
      </c>
      <c r="AG41" s="8"/>
      <c r="AH41" s="8"/>
      <c r="AI41" s="8"/>
      <c r="AJ41" s="8"/>
      <c r="AK41" s="8"/>
      <c r="AL41" s="8"/>
      <c r="AM41" s="8"/>
      <c r="AN41" s="9"/>
      <c r="AO41" s="16" t="s">
        <v>47</v>
      </c>
      <c r="AP41" s="8"/>
      <c r="AQ41" s="8" t="s">
        <v>277</v>
      </c>
      <c r="AR41" s="8" t="s">
        <v>264</v>
      </c>
      <c r="AS41" s="8" t="s">
        <v>261</v>
      </c>
      <c r="AT41" s="8"/>
      <c r="AU41" s="8" t="s">
        <v>223</v>
      </c>
      <c r="AV41" s="8" t="s">
        <v>285</v>
      </c>
      <c r="AW41" s="8"/>
      <c r="AX41" s="9"/>
    </row>
    <row r="42" ht="15.75" customHeight="1">
      <c r="A42" s="23" t="s">
        <v>54</v>
      </c>
      <c r="B42" s="24" t="s">
        <v>373</v>
      </c>
      <c r="C42" s="24"/>
      <c r="D42" s="24"/>
      <c r="E42" s="24"/>
      <c r="F42" s="24"/>
      <c r="G42" s="24"/>
      <c r="H42" s="24"/>
      <c r="I42" s="24"/>
      <c r="J42" s="25"/>
      <c r="K42" s="23" t="s">
        <v>54</v>
      </c>
      <c r="L42" s="24" t="s">
        <v>374</v>
      </c>
      <c r="M42" s="24"/>
      <c r="N42" s="24" t="s">
        <v>382</v>
      </c>
      <c r="O42" s="24"/>
      <c r="P42" s="24"/>
      <c r="Q42" s="24"/>
      <c r="R42" s="24"/>
      <c r="S42" s="24"/>
      <c r="T42" s="25"/>
      <c r="U42" s="23" t="s">
        <v>54</v>
      </c>
      <c r="V42" s="24"/>
      <c r="W42" s="24"/>
      <c r="X42" s="24"/>
      <c r="Y42" s="24"/>
      <c r="Z42" s="24"/>
      <c r="AA42" s="24"/>
      <c r="AB42" s="24"/>
      <c r="AC42" s="24" t="s">
        <v>388</v>
      </c>
      <c r="AD42" s="25"/>
      <c r="AE42" s="23" t="s">
        <v>54</v>
      </c>
      <c r="AF42" s="24" t="s">
        <v>378</v>
      </c>
      <c r="AG42" s="24"/>
      <c r="AH42" s="24"/>
      <c r="AI42" s="24"/>
      <c r="AJ42" s="24"/>
      <c r="AK42" s="24"/>
      <c r="AL42" s="24"/>
      <c r="AM42" s="24"/>
      <c r="AN42" s="25"/>
      <c r="AO42" s="23" t="s">
        <v>54</v>
      </c>
      <c r="AP42" s="24"/>
      <c r="AQ42" s="24" t="s">
        <v>264</v>
      </c>
      <c r="AR42" s="24" t="s">
        <v>379</v>
      </c>
      <c r="AS42" s="24"/>
      <c r="AT42" s="24" t="s">
        <v>380</v>
      </c>
      <c r="AU42" s="24"/>
      <c r="AV42" s="24" t="s">
        <v>277</v>
      </c>
      <c r="AW42" s="24" t="s">
        <v>261</v>
      </c>
      <c r="AX42" s="25"/>
    </row>
    <row r="43" ht="15.75" customHeight="1">
      <c r="A43" t="s">
        <v>168</v>
      </c>
      <c r="B43" s="8"/>
      <c r="C43" s="8"/>
      <c r="D43" s="8"/>
      <c r="E43" s="8"/>
      <c r="F43" s="8"/>
      <c r="G43" s="8"/>
      <c r="H43" s="8"/>
      <c r="I43" s="8"/>
      <c r="J43" s="9"/>
      <c r="K43" t="s">
        <v>219</v>
      </c>
      <c r="L43" s="8"/>
      <c r="M43" s="8"/>
      <c r="N43" s="8"/>
      <c r="O43" s="8"/>
      <c r="P43" s="8"/>
      <c r="Q43" s="8"/>
      <c r="R43" s="8"/>
      <c r="S43" s="8"/>
      <c r="T43" s="9"/>
      <c r="U43" t="s">
        <v>216</v>
      </c>
      <c r="V43" s="8"/>
      <c r="W43" s="8"/>
      <c r="X43" s="8"/>
      <c r="Y43" s="8"/>
      <c r="Z43" s="8"/>
      <c r="AA43" s="8"/>
      <c r="AB43" s="8"/>
      <c r="AC43" s="8"/>
      <c r="AD43" s="9"/>
      <c r="AE43" t="s">
        <v>196</v>
      </c>
      <c r="AF43" s="8"/>
      <c r="AG43" s="8"/>
      <c r="AH43" s="8"/>
      <c r="AI43" s="8"/>
      <c r="AJ43" s="8"/>
      <c r="AK43" s="8"/>
      <c r="AL43" s="8"/>
      <c r="AM43" s="8"/>
      <c r="AN43" s="9"/>
      <c r="AO43" t="s">
        <v>252</v>
      </c>
      <c r="AP43" s="8"/>
      <c r="AQ43" s="8"/>
      <c r="AR43" s="8"/>
      <c r="AS43" s="8"/>
      <c r="AT43" s="8"/>
      <c r="AU43" s="8"/>
      <c r="AV43" s="8"/>
      <c r="AW43" s="8"/>
      <c r="AX43" s="9"/>
    </row>
    <row r="44" ht="15.75" customHeight="1">
      <c r="A44" s="14" t="s">
        <v>28</v>
      </c>
      <c r="B44" s="16" t="s">
        <v>14</v>
      </c>
      <c r="C44" s="16" t="s">
        <v>18</v>
      </c>
      <c r="D44" s="16" t="s">
        <v>19</v>
      </c>
      <c r="E44" s="16" t="s">
        <v>20</v>
      </c>
      <c r="F44" s="16" t="s">
        <v>21</v>
      </c>
      <c r="G44" s="16" t="s">
        <v>22</v>
      </c>
      <c r="H44" s="16" t="s">
        <v>23</v>
      </c>
      <c r="I44" s="16" t="s">
        <v>24</v>
      </c>
      <c r="J44" s="20"/>
      <c r="K44" s="14" t="s">
        <v>28</v>
      </c>
      <c r="L44" s="16" t="s">
        <v>14</v>
      </c>
      <c r="M44" s="16" t="s">
        <v>18</v>
      </c>
      <c r="N44" s="16" t="s">
        <v>19</v>
      </c>
      <c r="O44" s="16" t="s">
        <v>20</v>
      </c>
      <c r="P44" s="16" t="s">
        <v>21</v>
      </c>
      <c r="Q44" s="16" t="s">
        <v>22</v>
      </c>
      <c r="R44" s="16" t="s">
        <v>23</v>
      </c>
      <c r="S44" s="16" t="s">
        <v>24</v>
      </c>
      <c r="T44" s="20"/>
      <c r="U44" s="14" t="s">
        <v>28</v>
      </c>
      <c r="V44" s="16" t="s">
        <v>14</v>
      </c>
      <c r="W44" s="16" t="s">
        <v>18</v>
      </c>
      <c r="X44" s="16" t="s">
        <v>19</v>
      </c>
      <c r="Y44" s="16" t="s">
        <v>20</v>
      </c>
      <c r="Z44" s="16" t="s">
        <v>21</v>
      </c>
      <c r="AA44" s="16" t="s">
        <v>22</v>
      </c>
      <c r="AB44" s="16" t="s">
        <v>23</v>
      </c>
      <c r="AC44" s="16" t="s">
        <v>24</v>
      </c>
      <c r="AD44" s="20"/>
      <c r="AE44" s="14" t="s">
        <v>28</v>
      </c>
      <c r="AF44" s="16" t="s">
        <v>14</v>
      </c>
      <c r="AG44" s="16" t="s">
        <v>18</v>
      </c>
      <c r="AH44" s="16" t="s">
        <v>19</v>
      </c>
      <c r="AI44" s="16" t="s">
        <v>20</v>
      </c>
      <c r="AJ44" s="16" t="s">
        <v>21</v>
      </c>
      <c r="AK44" s="16" t="s">
        <v>22</v>
      </c>
      <c r="AL44" s="16" t="s">
        <v>23</v>
      </c>
      <c r="AM44" s="16" t="s">
        <v>24</v>
      </c>
      <c r="AN44" s="20"/>
      <c r="AO44" s="14" t="s">
        <v>28</v>
      </c>
      <c r="AP44" s="16" t="s">
        <v>14</v>
      </c>
      <c r="AQ44" s="16" t="s">
        <v>18</v>
      </c>
      <c r="AR44" s="16" t="s">
        <v>19</v>
      </c>
      <c r="AS44" s="16" t="s">
        <v>20</v>
      </c>
      <c r="AT44" s="16" t="s">
        <v>21</v>
      </c>
      <c r="AU44" s="16" t="s">
        <v>22</v>
      </c>
      <c r="AV44" s="16" t="s">
        <v>23</v>
      </c>
      <c r="AW44" s="16" t="s">
        <v>24</v>
      </c>
      <c r="AX44" s="20"/>
    </row>
    <row r="45" ht="15.75" customHeight="1">
      <c r="A45" s="16" t="s">
        <v>33</v>
      </c>
      <c r="B45" s="8" t="s">
        <v>403</v>
      </c>
      <c r="C45" s="8"/>
      <c r="D45" s="8"/>
      <c r="E45" s="8"/>
      <c r="F45" s="8"/>
      <c r="G45" s="8"/>
      <c r="H45" s="8"/>
      <c r="I45" s="8"/>
      <c r="J45" s="9"/>
      <c r="K45" s="16" t="s">
        <v>33</v>
      </c>
      <c r="L45" s="8" t="s">
        <v>404</v>
      </c>
      <c r="M45" s="8" t="s">
        <v>405</v>
      </c>
      <c r="N45" s="8" t="s">
        <v>405</v>
      </c>
      <c r="O45" s="8"/>
      <c r="P45" s="8"/>
      <c r="Q45" s="8"/>
      <c r="R45" s="8"/>
      <c r="S45" s="8"/>
      <c r="T45" s="9"/>
      <c r="U45" s="16" t="s">
        <v>33</v>
      </c>
      <c r="V45" s="22" t="s">
        <v>407</v>
      </c>
      <c r="W45" s="22" t="s">
        <v>408</v>
      </c>
      <c r="X45" s="22" t="s">
        <v>379</v>
      </c>
      <c r="Y45" s="8"/>
      <c r="Z45" s="8"/>
      <c r="AA45" s="22" t="s">
        <v>380</v>
      </c>
      <c r="AB45" s="22" t="s">
        <v>410</v>
      </c>
      <c r="AC45" s="8"/>
      <c r="AD45" s="9"/>
      <c r="AE45" s="16" t="s">
        <v>33</v>
      </c>
      <c r="AF45" s="8" t="s">
        <v>411</v>
      </c>
      <c r="AG45" s="8"/>
      <c r="AH45" s="8"/>
      <c r="AI45" s="8"/>
      <c r="AJ45" s="8"/>
      <c r="AK45" s="8"/>
      <c r="AL45" s="8"/>
      <c r="AM45" s="8"/>
      <c r="AN45" s="9"/>
      <c r="AO45" s="16" t="s">
        <v>33</v>
      </c>
      <c r="AP45" s="8"/>
      <c r="AQ45" s="8"/>
      <c r="AR45" s="8" t="s">
        <v>175</v>
      </c>
      <c r="AS45" s="8"/>
      <c r="AT45" s="8"/>
      <c r="AU45" s="8" t="s">
        <v>412</v>
      </c>
      <c r="AV45" s="8" t="s">
        <v>35</v>
      </c>
      <c r="AW45" s="8"/>
      <c r="AX45" s="9"/>
    </row>
    <row r="46" ht="15.75" customHeight="1">
      <c r="A46" s="16" t="s">
        <v>38</v>
      </c>
      <c r="B46" s="8" t="s">
        <v>413</v>
      </c>
      <c r="C46" s="8"/>
      <c r="D46" s="8"/>
      <c r="E46" s="8"/>
      <c r="F46" s="8"/>
      <c r="G46" s="8"/>
      <c r="H46" s="8"/>
      <c r="I46" s="8"/>
      <c r="J46" s="9"/>
      <c r="K46" s="16" t="s">
        <v>38</v>
      </c>
      <c r="L46" s="8" t="s">
        <v>414</v>
      </c>
      <c r="M46" s="8"/>
      <c r="N46" s="8" t="s">
        <v>404</v>
      </c>
      <c r="O46" s="8"/>
      <c r="P46" s="8"/>
      <c r="Q46" s="8"/>
      <c r="R46" s="8"/>
      <c r="S46" s="8"/>
      <c r="T46" s="9"/>
      <c r="U46" s="16" t="s">
        <v>38</v>
      </c>
      <c r="V46" s="22" t="s">
        <v>415</v>
      </c>
      <c r="W46" s="22" t="s">
        <v>380</v>
      </c>
      <c r="X46" s="8"/>
      <c r="Y46" s="22" t="s">
        <v>379</v>
      </c>
      <c r="Z46" s="8"/>
      <c r="AA46" s="22" t="s">
        <v>408</v>
      </c>
      <c r="AB46" s="22"/>
      <c r="AC46" s="8"/>
      <c r="AD46" s="9"/>
      <c r="AE46" s="16" t="s">
        <v>38</v>
      </c>
      <c r="AF46" s="8" t="s">
        <v>417</v>
      </c>
      <c r="AG46" s="8" t="s">
        <v>418</v>
      </c>
      <c r="AH46" s="8"/>
      <c r="AI46" s="8"/>
      <c r="AJ46" s="8" t="s">
        <v>411</v>
      </c>
      <c r="AK46" s="8" t="s">
        <v>418</v>
      </c>
      <c r="AL46" s="8"/>
      <c r="AM46" s="8"/>
      <c r="AN46" s="9"/>
      <c r="AO46" s="16" t="s">
        <v>38</v>
      </c>
      <c r="AP46" s="8"/>
      <c r="AQ46" s="8" t="s">
        <v>412</v>
      </c>
      <c r="AR46" s="8"/>
      <c r="AS46" s="8" t="s">
        <v>419</v>
      </c>
      <c r="AT46" s="8" t="s">
        <v>175</v>
      </c>
      <c r="AU46" s="8"/>
      <c r="AV46" s="8" t="s">
        <v>35</v>
      </c>
      <c r="AW46" s="8"/>
      <c r="AX46" s="9"/>
    </row>
    <row r="47" ht="15.75" customHeight="1">
      <c r="A47" s="16" t="s">
        <v>44</v>
      </c>
      <c r="B47" s="8" t="s">
        <v>403</v>
      </c>
      <c r="C47" s="8"/>
      <c r="D47" s="8"/>
      <c r="E47" s="8"/>
      <c r="F47" s="8"/>
      <c r="G47" s="8"/>
      <c r="H47" s="8"/>
      <c r="I47" s="8"/>
      <c r="J47" s="9"/>
      <c r="K47" s="16" t="s">
        <v>44</v>
      </c>
      <c r="L47" s="8" t="s">
        <v>404</v>
      </c>
      <c r="M47" s="8"/>
      <c r="N47" s="8"/>
      <c r="O47" s="8"/>
      <c r="P47" s="8"/>
      <c r="Q47" s="8"/>
      <c r="R47" s="8"/>
      <c r="S47" s="8"/>
      <c r="T47" s="9"/>
      <c r="U47" s="16" t="s">
        <v>44</v>
      </c>
      <c r="V47" s="22" t="s">
        <v>407</v>
      </c>
      <c r="W47" s="22" t="s">
        <v>408</v>
      </c>
      <c r="X47" s="8"/>
      <c r="Y47" s="8" t="s">
        <v>415</v>
      </c>
      <c r="Z47" s="22" t="s">
        <v>379</v>
      </c>
      <c r="AA47" s="22"/>
      <c r="AB47" s="22" t="s">
        <v>420</v>
      </c>
      <c r="AC47" s="22" t="s">
        <v>421</v>
      </c>
      <c r="AD47" s="9"/>
      <c r="AE47" s="16" t="s">
        <v>44</v>
      </c>
      <c r="AF47" s="8" t="s">
        <v>411</v>
      </c>
      <c r="AG47" s="8" t="s">
        <v>422</v>
      </c>
      <c r="AH47" s="8" t="s">
        <v>422</v>
      </c>
      <c r="AI47" s="8"/>
      <c r="AJ47" s="8"/>
      <c r="AK47" s="8"/>
      <c r="AL47" s="8"/>
      <c r="AM47" s="8"/>
      <c r="AN47" s="9"/>
      <c r="AO47" s="16" t="s">
        <v>44</v>
      </c>
      <c r="AP47" s="8"/>
      <c r="AQ47" s="8"/>
      <c r="AR47" s="8" t="s">
        <v>35</v>
      </c>
      <c r="AS47" s="8" t="s">
        <v>35</v>
      </c>
      <c r="AT47" s="8"/>
      <c r="AU47" s="8" t="s">
        <v>175</v>
      </c>
      <c r="AV47" s="8"/>
      <c r="AW47" s="8"/>
      <c r="AX47" s="9"/>
    </row>
    <row r="48" ht="15.75" customHeight="1">
      <c r="A48" s="16" t="s">
        <v>47</v>
      </c>
      <c r="B48" s="8" t="s">
        <v>413</v>
      </c>
      <c r="C48" s="8"/>
      <c r="D48" s="8"/>
      <c r="E48" s="8"/>
      <c r="F48" s="8"/>
      <c r="G48" s="8"/>
      <c r="H48" s="8"/>
      <c r="I48" s="8"/>
      <c r="J48" s="9"/>
      <c r="K48" s="16" t="s">
        <v>47</v>
      </c>
      <c r="L48" s="8" t="s">
        <v>414</v>
      </c>
      <c r="M48" s="8" t="s">
        <v>423</v>
      </c>
      <c r="N48" s="8" t="s">
        <v>423</v>
      </c>
      <c r="O48" s="8"/>
      <c r="P48" s="8" t="s">
        <v>404</v>
      </c>
      <c r="Q48" s="8"/>
      <c r="R48" s="8"/>
      <c r="S48" s="8"/>
      <c r="T48" s="9"/>
      <c r="U48" s="16" t="s">
        <v>47</v>
      </c>
      <c r="V48" s="22" t="s">
        <v>415</v>
      </c>
      <c r="W48" s="8"/>
      <c r="X48" s="22"/>
      <c r="Y48" s="8"/>
      <c r="Z48" s="8"/>
      <c r="AA48" s="8"/>
      <c r="AB48" s="22" t="s">
        <v>420</v>
      </c>
      <c r="AC48" s="22" t="s">
        <v>380</v>
      </c>
      <c r="AD48" s="9"/>
      <c r="AE48" s="16" t="s">
        <v>47</v>
      </c>
      <c r="AF48" s="8" t="s">
        <v>417</v>
      </c>
      <c r="AG48" s="8"/>
      <c r="AH48" s="8"/>
      <c r="AI48" s="8"/>
      <c r="AJ48" s="8" t="s">
        <v>411</v>
      </c>
      <c r="AK48" s="8"/>
      <c r="AL48" s="8"/>
      <c r="AM48" s="8"/>
      <c r="AN48" s="9"/>
      <c r="AO48" s="16" t="s">
        <v>47</v>
      </c>
      <c r="AP48" s="8"/>
      <c r="AQ48" s="8"/>
      <c r="AR48" s="8"/>
      <c r="AS48" s="8" t="s">
        <v>419</v>
      </c>
      <c r="AT48" s="8"/>
      <c r="AU48" s="8" t="s">
        <v>35</v>
      </c>
      <c r="AV48" s="8" t="s">
        <v>175</v>
      </c>
      <c r="AW48" s="8" t="s">
        <v>175</v>
      </c>
      <c r="AX48" s="9"/>
    </row>
    <row r="49" ht="15.75" customHeight="1">
      <c r="A49" s="23" t="s">
        <v>54</v>
      </c>
      <c r="B49" s="24" t="s">
        <v>403</v>
      </c>
      <c r="C49" s="24"/>
      <c r="D49" s="24"/>
      <c r="E49" s="24" t="s">
        <v>413</v>
      </c>
      <c r="F49" s="24"/>
      <c r="G49" s="24"/>
      <c r="H49" s="24"/>
      <c r="I49" s="24"/>
      <c r="J49" s="25"/>
      <c r="K49" s="23" t="s">
        <v>54</v>
      </c>
      <c r="L49" s="24" t="s">
        <v>404</v>
      </c>
      <c r="M49" s="24"/>
      <c r="N49" s="24"/>
      <c r="O49" s="24"/>
      <c r="P49" s="24"/>
      <c r="Q49" s="24"/>
      <c r="R49" s="24"/>
      <c r="S49" s="24"/>
      <c r="T49" s="25"/>
      <c r="U49" s="23" t="s">
        <v>54</v>
      </c>
      <c r="V49" s="26" t="s">
        <v>407</v>
      </c>
      <c r="W49" s="24"/>
      <c r="X49" s="26" t="s">
        <v>379</v>
      </c>
      <c r="Y49" s="24"/>
      <c r="Z49" s="26" t="s">
        <v>380</v>
      </c>
      <c r="AA49" s="26"/>
      <c r="AB49" s="24"/>
      <c r="AC49" s="26" t="s">
        <v>408</v>
      </c>
      <c r="AD49" s="25"/>
      <c r="AE49" s="23" t="s">
        <v>54</v>
      </c>
      <c r="AF49" s="24" t="s">
        <v>411</v>
      </c>
      <c r="AG49" s="24"/>
      <c r="AH49" s="24"/>
      <c r="AI49" s="24"/>
      <c r="AJ49" s="24"/>
      <c r="AK49" s="24"/>
      <c r="AL49" s="24"/>
      <c r="AM49" s="24"/>
      <c r="AN49" s="25"/>
      <c r="AO49" s="23" t="s">
        <v>54</v>
      </c>
      <c r="AP49" s="24"/>
      <c r="AQ49" s="24" t="s">
        <v>35</v>
      </c>
      <c r="AR49" s="24" t="s">
        <v>175</v>
      </c>
      <c r="AS49" s="24"/>
      <c r="AT49" s="24"/>
      <c r="AU49" s="24"/>
      <c r="AV49" s="24"/>
      <c r="AW49" s="24" t="s">
        <v>419</v>
      </c>
      <c r="AX49" s="25"/>
    </row>
    <row r="50" ht="15.75" customHeight="1">
      <c r="A50" t="s">
        <v>298</v>
      </c>
      <c r="B50" s="8"/>
      <c r="C50" s="8"/>
      <c r="D50" s="8"/>
      <c r="E50" s="8"/>
      <c r="F50" s="8"/>
      <c r="G50" s="8"/>
      <c r="H50" s="8"/>
      <c r="I50" s="8"/>
      <c r="J50" s="9"/>
      <c r="K50" t="s">
        <v>146</v>
      </c>
      <c r="L50" s="8"/>
      <c r="M50" s="8"/>
      <c r="N50" s="8"/>
      <c r="O50" s="8"/>
      <c r="P50" s="8"/>
      <c r="Q50" s="8"/>
      <c r="R50" s="8"/>
      <c r="S50" s="8"/>
      <c r="T50" s="9"/>
      <c r="U50" t="s">
        <v>201</v>
      </c>
      <c r="V50" s="8"/>
      <c r="W50" s="8"/>
      <c r="X50" s="8"/>
      <c r="Y50" s="8"/>
      <c r="Z50" s="8"/>
      <c r="AA50" s="8"/>
      <c r="AB50" s="8"/>
      <c r="AC50" s="8"/>
      <c r="AD50" s="9"/>
      <c r="AE50" t="s">
        <v>247</v>
      </c>
      <c r="AF50" s="8"/>
      <c r="AG50" s="8"/>
      <c r="AH50" s="8"/>
      <c r="AI50" s="8"/>
      <c r="AJ50" s="8"/>
      <c r="AK50" s="8"/>
      <c r="AL50" s="8"/>
      <c r="AM50" s="8"/>
      <c r="AN50" s="9"/>
      <c r="AO50" t="s">
        <v>321</v>
      </c>
      <c r="AP50" s="8"/>
      <c r="AQ50" s="8"/>
      <c r="AR50" s="8"/>
      <c r="AS50" s="8"/>
      <c r="AT50" s="8"/>
      <c r="AU50" s="8"/>
      <c r="AV50" s="8"/>
      <c r="AW50" s="8"/>
      <c r="AX50" s="9"/>
    </row>
    <row r="51" ht="15.75" customHeight="1">
      <c r="A51" s="14" t="s">
        <v>28</v>
      </c>
      <c r="B51" s="16" t="s">
        <v>14</v>
      </c>
      <c r="C51" s="16" t="s">
        <v>18</v>
      </c>
      <c r="D51" s="16" t="s">
        <v>19</v>
      </c>
      <c r="E51" s="16" t="s">
        <v>20</v>
      </c>
      <c r="F51" s="16" t="s">
        <v>21</v>
      </c>
      <c r="G51" s="16" t="s">
        <v>22</v>
      </c>
      <c r="H51" s="16" t="s">
        <v>23</v>
      </c>
      <c r="I51" s="16" t="s">
        <v>24</v>
      </c>
      <c r="J51" s="20"/>
      <c r="K51" s="14" t="s">
        <v>28</v>
      </c>
      <c r="L51" s="16" t="s">
        <v>14</v>
      </c>
      <c r="M51" s="16" t="s">
        <v>18</v>
      </c>
      <c r="N51" s="16" t="s">
        <v>19</v>
      </c>
      <c r="O51" s="16" t="s">
        <v>20</v>
      </c>
      <c r="P51" s="16" t="s">
        <v>21</v>
      </c>
      <c r="Q51" s="16" t="s">
        <v>22</v>
      </c>
      <c r="R51" s="16" t="s">
        <v>23</v>
      </c>
      <c r="S51" s="16" t="s">
        <v>24</v>
      </c>
      <c r="T51" s="20"/>
      <c r="U51" s="14" t="s">
        <v>28</v>
      </c>
      <c r="V51" s="16" t="s">
        <v>14</v>
      </c>
      <c r="W51" s="16" t="s">
        <v>18</v>
      </c>
      <c r="X51" s="16" t="s">
        <v>19</v>
      </c>
      <c r="Y51" s="16" t="s">
        <v>20</v>
      </c>
      <c r="Z51" s="16" t="s">
        <v>21</v>
      </c>
      <c r="AA51" s="16" t="s">
        <v>22</v>
      </c>
      <c r="AB51" s="16" t="s">
        <v>23</v>
      </c>
      <c r="AC51" s="16" t="s">
        <v>24</v>
      </c>
      <c r="AD51" s="20"/>
      <c r="AE51" s="14" t="s">
        <v>28</v>
      </c>
      <c r="AF51" s="16" t="s">
        <v>14</v>
      </c>
      <c r="AG51" s="16" t="s">
        <v>18</v>
      </c>
      <c r="AH51" s="16" t="s">
        <v>19</v>
      </c>
      <c r="AI51" s="16" t="s">
        <v>20</v>
      </c>
      <c r="AJ51" s="16" t="s">
        <v>21</v>
      </c>
      <c r="AK51" s="16" t="s">
        <v>22</v>
      </c>
      <c r="AL51" s="16" t="s">
        <v>23</v>
      </c>
      <c r="AM51" s="16" t="s">
        <v>24</v>
      </c>
      <c r="AN51" s="20"/>
      <c r="AO51" s="14" t="s">
        <v>28</v>
      </c>
      <c r="AP51" s="16" t="s">
        <v>14</v>
      </c>
      <c r="AQ51" s="16" t="s">
        <v>18</v>
      </c>
      <c r="AR51" s="16" t="s">
        <v>19</v>
      </c>
      <c r="AS51" s="16" t="s">
        <v>20</v>
      </c>
      <c r="AT51" s="16" t="s">
        <v>21</v>
      </c>
      <c r="AU51" s="16" t="s">
        <v>22</v>
      </c>
      <c r="AV51" s="16" t="s">
        <v>23</v>
      </c>
      <c r="AW51" s="16" t="s">
        <v>24</v>
      </c>
      <c r="AX51" s="20"/>
      <c r="BS51" t="s">
        <v>438</v>
      </c>
    </row>
    <row r="52" ht="15.75" customHeight="1">
      <c r="A52" s="16" t="s">
        <v>33</v>
      </c>
      <c r="B52" s="8" t="s">
        <v>439</v>
      </c>
      <c r="C52" s="8"/>
      <c r="D52" s="8" t="s">
        <v>440</v>
      </c>
      <c r="E52" s="8" t="s">
        <v>441</v>
      </c>
      <c r="F52" s="8"/>
      <c r="G52" s="8" t="s">
        <v>440</v>
      </c>
      <c r="H52" s="8"/>
      <c r="I52" s="8"/>
      <c r="J52" s="9"/>
      <c r="K52" s="16" t="s">
        <v>33</v>
      </c>
      <c r="L52" s="8" t="s">
        <v>442</v>
      </c>
      <c r="M52" s="8"/>
      <c r="N52" s="8"/>
      <c r="O52" s="8" t="s">
        <v>443</v>
      </c>
      <c r="P52" s="8"/>
      <c r="Q52" s="8" t="s">
        <v>315</v>
      </c>
      <c r="R52" s="8" t="s">
        <v>35</v>
      </c>
      <c r="S52" s="8"/>
      <c r="T52" s="9"/>
      <c r="U52" s="16" t="s">
        <v>33</v>
      </c>
      <c r="V52" s="8" t="s">
        <v>444</v>
      </c>
      <c r="W52" s="8"/>
      <c r="X52" s="8"/>
      <c r="Y52" s="8"/>
      <c r="Z52" s="8"/>
      <c r="AA52" s="8"/>
      <c r="AB52" s="8"/>
      <c r="AC52" s="8"/>
      <c r="AD52" s="9"/>
      <c r="AE52" s="16" t="s">
        <v>33</v>
      </c>
      <c r="AF52" s="8"/>
      <c r="AG52" s="22" t="s">
        <v>163</v>
      </c>
      <c r="AH52" s="22" t="s">
        <v>262</v>
      </c>
      <c r="AI52" s="8"/>
      <c r="AJ52" s="22" t="s">
        <v>167</v>
      </c>
      <c r="AK52" s="22" t="s">
        <v>266</v>
      </c>
      <c r="AL52" s="22" t="s">
        <v>446</v>
      </c>
      <c r="AM52" s="22" t="s">
        <v>171</v>
      </c>
      <c r="AN52" s="9"/>
      <c r="AO52" s="16" t="s">
        <v>33</v>
      </c>
      <c r="AP52" s="8" t="s">
        <v>447</v>
      </c>
      <c r="AQ52" s="8"/>
      <c r="AR52" s="8"/>
      <c r="AS52" s="8"/>
      <c r="AT52" s="8" t="s">
        <v>448</v>
      </c>
      <c r="AU52" s="8"/>
      <c r="AV52" s="8"/>
      <c r="AW52" s="8" t="s">
        <v>448</v>
      </c>
      <c r="AX52" s="9"/>
    </row>
    <row r="53" ht="15.75" customHeight="1">
      <c r="A53" s="16" t="s">
        <v>38</v>
      </c>
      <c r="B53" s="8" t="s">
        <v>439</v>
      </c>
      <c r="C53" s="8"/>
      <c r="D53" s="8"/>
      <c r="E53" s="8"/>
      <c r="F53" s="8" t="s">
        <v>449</v>
      </c>
      <c r="G53" s="8" t="s">
        <v>449</v>
      </c>
      <c r="H53" s="8"/>
      <c r="I53" s="8" t="s">
        <v>441</v>
      </c>
      <c r="J53" s="9"/>
      <c r="K53" s="16" t="s">
        <v>38</v>
      </c>
      <c r="L53" s="8" t="s">
        <v>442</v>
      </c>
      <c r="M53" s="8" t="s">
        <v>315</v>
      </c>
      <c r="N53" s="8"/>
      <c r="O53" s="8" t="s">
        <v>327</v>
      </c>
      <c r="P53" s="8"/>
      <c r="Q53" s="8" t="s">
        <v>442</v>
      </c>
      <c r="R53" s="8" t="s">
        <v>35</v>
      </c>
      <c r="S53" s="8" t="s">
        <v>443</v>
      </c>
      <c r="T53" s="9"/>
      <c r="U53" s="16" t="s">
        <v>38</v>
      </c>
      <c r="V53" s="8" t="s">
        <v>450</v>
      </c>
      <c r="W53" s="8"/>
      <c r="X53" s="8"/>
      <c r="Y53" s="8" t="s">
        <v>451</v>
      </c>
      <c r="Z53" s="8"/>
      <c r="AA53" s="8"/>
      <c r="AB53" s="8"/>
      <c r="AC53" s="8" t="s">
        <v>451</v>
      </c>
      <c r="AD53" s="9"/>
      <c r="AE53" s="16" t="s">
        <v>38</v>
      </c>
      <c r="AF53" s="8"/>
      <c r="AG53" s="22" t="s">
        <v>266</v>
      </c>
      <c r="AH53" s="8"/>
      <c r="AI53" s="22" t="s">
        <v>262</v>
      </c>
      <c r="AJ53" s="22" t="s">
        <v>167</v>
      </c>
      <c r="AK53" s="22" t="s">
        <v>163</v>
      </c>
      <c r="AL53" s="22" t="s">
        <v>171</v>
      </c>
      <c r="AM53" s="8"/>
      <c r="AN53" s="9"/>
      <c r="AO53" s="16" t="s">
        <v>38</v>
      </c>
      <c r="AP53" s="8" t="s">
        <v>452</v>
      </c>
      <c r="AQ53" s="8"/>
      <c r="AR53" s="8" t="s">
        <v>447</v>
      </c>
      <c r="AS53" s="8"/>
      <c r="AT53" s="8"/>
      <c r="AU53" s="8"/>
      <c r="AV53" s="8"/>
      <c r="AW53" s="8"/>
      <c r="AX53" s="9"/>
      <c r="BV53" t="s">
        <v>453</v>
      </c>
    </row>
    <row r="54" ht="15.75" customHeight="1">
      <c r="A54" s="16" t="s">
        <v>44</v>
      </c>
      <c r="B54" s="8" t="s">
        <v>439</v>
      </c>
      <c r="C54" s="8"/>
      <c r="D54" s="8"/>
      <c r="E54" s="8" t="s">
        <v>454</v>
      </c>
      <c r="F54" s="8"/>
      <c r="G54" s="8"/>
      <c r="H54" s="8"/>
      <c r="I54" s="8" t="s">
        <v>439</v>
      </c>
      <c r="J54" s="9"/>
      <c r="K54" s="16" t="s">
        <v>44</v>
      </c>
      <c r="L54" s="8" t="s">
        <v>442</v>
      </c>
      <c r="M54" s="8"/>
      <c r="N54" s="8" t="s">
        <v>35</v>
      </c>
      <c r="O54" s="8" t="s">
        <v>35</v>
      </c>
      <c r="P54" s="8" t="s">
        <v>455</v>
      </c>
      <c r="Q54" s="8"/>
      <c r="R54" s="8"/>
      <c r="S54" s="8"/>
      <c r="T54" s="9"/>
      <c r="U54" s="16" t="s">
        <v>44</v>
      </c>
      <c r="V54" s="8" t="s">
        <v>444</v>
      </c>
      <c r="W54" s="8"/>
      <c r="X54" s="8"/>
      <c r="Y54" s="8"/>
      <c r="Z54" s="8"/>
      <c r="AA54" s="8"/>
      <c r="AB54" s="8"/>
      <c r="AC54" s="8"/>
      <c r="AD54" s="9"/>
      <c r="AE54" s="16" t="s">
        <v>44</v>
      </c>
      <c r="AF54" s="8"/>
      <c r="AG54" s="22" t="s">
        <v>163</v>
      </c>
      <c r="AH54" s="22" t="s">
        <v>446</v>
      </c>
      <c r="AI54" s="8"/>
      <c r="AJ54" s="22" t="s">
        <v>262</v>
      </c>
      <c r="AK54" s="8"/>
      <c r="AL54" s="22" t="s">
        <v>420</v>
      </c>
      <c r="AM54" s="22" t="s">
        <v>421</v>
      </c>
      <c r="AN54" s="9"/>
      <c r="AO54" s="16" t="s">
        <v>44</v>
      </c>
      <c r="AP54" s="8" t="s">
        <v>447</v>
      </c>
      <c r="AQ54" s="8"/>
      <c r="AR54" s="8"/>
      <c r="AS54" s="8"/>
      <c r="AT54" s="8"/>
      <c r="AU54" s="8"/>
      <c r="AV54" s="8"/>
      <c r="AW54" s="8"/>
      <c r="AX54" s="9"/>
      <c r="BW54" t="s">
        <v>438</v>
      </c>
    </row>
    <row r="55" ht="15.75" customHeight="1">
      <c r="A55" s="16" t="s">
        <v>47</v>
      </c>
      <c r="B55" s="8" t="s">
        <v>439</v>
      </c>
      <c r="C55" s="8" t="s">
        <v>454</v>
      </c>
      <c r="D55" s="8" t="s">
        <v>454</v>
      </c>
      <c r="E55" s="8"/>
      <c r="F55" s="8"/>
      <c r="G55" s="8"/>
      <c r="H55" s="8"/>
      <c r="I55" s="8"/>
      <c r="J55" s="9"/>
      <c r="K55" s="16" t="s">
        <v>47</v>
      </c>
      <c r="L55" s="8" t="s">
        <v>442</v>
      </c>
      <c r="M55" s="8" t="s">
        <v>315</v>
      </c>
      <c r="N55" s="8"/>
      <c r="O55" s="8" t="s">
        <v>327</v>
      </c>
      <c r="P55" s="8"/>
      <c r="Q55" s="8" t="s">
        <v>35</v>
      </c>
      <c r="R55" s="8"/>
      <c r="S55" s="8"/>
      <c r="T55" s="9"/>
      <c r="U55" s="16" t="s">
        <v>47</v>
      </c>
      <c r="V55" s="8" t="s">
        <v>450</v>
      </c>
      <c r="W55" s="8"/>
      <c r="X55" s="8"/>
      <c r="Y55" s="8"/>
      <c r="Z55" s="8"/>
      <c r="AA55" s="8"/>
      <c r="AB55" s="8"/>
      <c r="AC55" s="8"/>
      <c r="AD55" s="9"/>
      <c r="AE55" s="16" t="s">
        <v>47</v>
      </c>
      <c r="AF55" s="8"/>
      <c r="AG55" s="8"/>
      <c r="AH55" s="22" t="s">
        <v>167</v>
      </c>
      <c r="AI55" s="8"/>
      <c r="AJ55" s="22" t="s">
        <v>171</v>
      </c>
      <c r="AK55" s="8"/>
      <c r="AL55" s="22" t="s">
        <v>420</v>
      </c>
      <c r="AM55" s="22" t="s">
        <v>266</v>
      </c>
      <c r="AN55" s="9"/>
      <c r="AO55" s="16" t="s">
        <v>47</v>
      </c>
      <c r="AP55" s="8" t="s">
        <v>452</v>
      </c>
      <c r="AQ55" s="8"/>
      <c r="AR55" s="8"/>
      <c r="AS55" s="8"/>
      <c r="AT55" s="8"/>
      <c r="AU55" s="8"/>
      <c r="AV55" s="8"/>
      <c r="AW55" s="8"/>
      <c r="AX55" s="9"/>
    </row>
    <row r="56" ht="15.75" customHeight="1">
      <c r="A56" s="23" t="s">
        <v>54</v>
      </c>
      <c r="B56" s="24" t="s">
        <v>439</v>
      </c>
      <c r="C56" s="24" t="s">
        <v>449</v>
      </c>
      <c r="D56" s="24"/>
      <c r="E56" s="24"/>
      <c r="F56" s="24" t="s">
        <v>441</v>
      </c>
      <c r="G56" s="24"/>
      <c r="H56" s="24"/>
      <c r="I56" s="24"/>
      <c r="J56" s="25"/>
      <c r="K56" s="23" t="s">
        <v>54</v>
      </c>
      <c r="L56" s="24" t="s">
        <v>442</v>
      </c>
      <c r="M56" s="24" t="s">
        <v>35</v>
      </c>
      <c r="N56" s="24"/>
      <c r="O56" s="24"/>
      <c r="P56" s="24" t="s">
        <v>468</v>
      </c>
      <c r="Q56" s="24"/>
      <c r="R56" s="24"/>
      <c r="S56" s="24" t="s">
        <v>327</v>
      </c>
      <c r="T56" s="25"/>
      <c r="U56" s="23" t="s">
        <v>54</v>
      </c>
      <c r="V56" s="24" t="s">
        <v>444</v>
      </c>
      <c r="W56" s="24"/>
      <c r="X56" s="24"/>
      <c r="Y56" s="24"/>
      <c r="Z56" s="24"/>
      <c r="AA56" s="24"/>
      <c r="AB56" s="24"/>
      <c r="AC56" s="24"/>
      <c r="AD56" s="25"/>
      <c r="AE56" s="23" t="s">
        <v>54</v>
      </c>
      <c r="AF56" s="24"/>
      <c r="AG56" s="26" t="s">
        <v>167</v>
      </c>
      <c r="AH56" s="26" t="s">
        <v>262</v>
      </c>
      <c r="AI56" s="24"/>
      <c r="AJ56" s="26" t="s">
        <v>266</v>
      </c>
      <c r="AK56" s="26" t="s">
        <v>171</v>
      </c>
      <c r="AL56" s="24"/>
      <c r="AM56" s="26" t="s">
        <v>163</v>
      </c>
      <c r="AN56" s="25"/>
      <c r="AO56" s="23" t="s">
        <v>54</v>
      </c>
      <c r="AP56" s="24" t="s">
        <v>447</v>
      </c>
      <c r="AQ56" s="24"/>
      <c r="AR56" s="24"/>
      <c r="AS56" s="24"/>
      <c r="AT56" s="24"/>
      <c r="AU56" s="24"/>
      <c r="AV56" s="24"/>
      <c r="AW56" s="24"/>
      <c r="AX56" s="25"/>
    </row>
    <row r="57" ht="15.75" customHeight="1">
      <c r="A57" t="s">
        <v>328</v>
      </c>
      <c r="B57" s="8"/>
      <c r="C57" s="8"/>
      <c r="D57" s="8"/>
      <c r="E57" s="8"/>
      <c r="F57" s="8"/>
      <c r="G57" s="8"/>
      <c r="H57" s="8"/>
      <c r="I57" s="8"/>
      <c r="J57" s="9"/>
      <c r="K57" s="8" t="s">
        <v>333</v>
      </c>
      <c r="L57" s="8"/>
      <c r="M57" s="8"/>
      <c r="N57" s="8"/>
      <c r="O57" s="8"/>
      <c r="P57" s="8"/>
      <c r="Q57" s="8"/>
      <c r="R57" s="8"/>
      <c r="S57" s="8"/>
      <c r="T57" s="9"/>
      <c r="U57" t="s">
        <v>336</v>
      </c>
      <c r="V57" s="8"/>
      <c r="W57" s="8"/>
      <c r="X57" s="8"/>
      <c r="Y57" s="8"/>
      <c r="Z57" s="8"/>
      <c r="AA57" s="8"/>
      <c r="AB57" s="8"/>
      <c r="AC57" s="8"/>
      <c r="AD57" s="9"/>
      <c r="AE57" t="s">
        <v>339</v>
      </c>
      <c r="AF57" s="8"/>
      <c r="AG57" s="8"/>
      <c r="AH57" s="8"/>
      <c r="AI57" s="8"/>
      <c r="AJ57" s="8"/>
      <c r="AK57" s="8"/>
      <c r="AL57" s="8"/>
      <c r="AM57" s="8"/>
      <c r="AN57" s="9"/>
      <c r="AO57" t="s">
        <v>344</v>
      </c>
      <c r="AP57" s="8"/>
      <c r="AQ57" s="8"/>
      <c r="AR57" s="8"/>
      <c r="AS57" s="8"/>
      <c r="AT57" s="8"/>
      <c r="AU57" s="8"/>
      <c r="AV57" s="8"/>
      <c r="AW57" s="8"/>
      <c r="AX57" s="9"/>
    </row>
    <row r="58" ht="15.75" customHeight="1">
      <c r="A58" s="14" t="s">
        <v>28</v>
      </c>
      <c r="B58" s="16" t="s">
        <v>14</v>
      </c>
      <c r="C58" s="16" t="s">
        <v>18</v>
      </c>
      <c r="D58" s="16" t="s">
        <v>19</v>
      </c>
      <c r="E58" s="16" t="s">
        <v>20</v>
      </c>
      <c r="F58" s="16" t="s">
        <v>21</v>
      </c>
      <c r="G58" s="16" t="s">
        <v>22</v>
      </c>
      <c r="H58" s="16" t="s">
        <v>23</v>
      </c>
      <c r="I58" s="16" t="s">
        <v>24</v>
      </c>
      <c r="J58" s="20"/>
      <c r="K58" s="14" t="s">
        <v>28</v>
      </c>
      <c r="L58" s="16" t="s">
        <v>14</v>
      </c>
      <c r="M58" s="16" t="s">
        <v>18</v>
      </c>
      <c r="N58" s="16" t="s">
        <v>19</v>
      </c>
      <c r="O58" s="16" t="s">
        <v>20</v>
      </c>
      <c r="P58" s="16" t="s">
        <v>21</v>
      </c>
      <c r="Q58" s="16" t="s">
        <v>22</v>
      </c>
      <c r="R58" s="16" t="s">
        <v>23</v>
      </c>
      <c r="S58" s="16" t="s">
        <v>24</v>
      </c>
      <c r="T58" s="20"/>
      <c r="U58" s="14" t="s">
        <v>28</v>
      </c>
      <c r="V58" s="16" t="s">
        <v>14</v>
      </c>
      <c r="W58" s="16" t="s">
        <v>18</v>
      </c>
      <c r="X58" s="16" t="s">
        <v>19</v>
      </c>
      <c r="Y58" s="16" t="s">
        <v>20</v>
      </c>
      <c r="Z58" s="16" t="s">
        <v>21</v>
      </c>
      <c r="AA58" s="16" t="s">
        <v>22</v>
      </c>
      <c r="AB58" s="16" t="s">
        <v>23</v>
      </c>
      <c r="AC58" s="16" t="s">
        <v>24</v>
      </c>
      <c r="AD58" s="20"/>
      <c r="AE58" s="14" t="s">
        <v>28</v>
      </c>
      <c r="AF58" s="16" t="s">
        <v>14</v>
      </c>
      <c r="AG58" s="16" t="s">
        <v>18</v>
      </c>
      <c r="AH58" s="16" t="s">
        <v>19</v>
      </c>
      <c r="AI58" s="16" t="s">
        <v>20</v>
      </c>
      <c r="AJ58" s="16" t="s">
        <v>21</v>
      </c>
      <c r="AK58" s="16" t="s">
        <v>22</v>
      </c>
      <c r="AL58" s="16" t="s">
        <v>23</v>
      </c>
      <c r="AM58" s="16" t="s">
        <v>24</v>
      </c>
      <c r="AN58" s="20"/>
      <c r="AO58" s="14" t="s">
        <v>28</v>
      </c>
      <c r="AP58" s="16" t="s">
        <v>14</v>
      </c>
      <c r="AQ58" s="16" t="s">
        <v>18</v>
      </c>
      <c r="AR58" s="16" t="s">
        <v>19</v>
      </c>
      <c r="AS58" s="16" t="s">
        <v>20</v>
      </c>
      <c r="AT58" s="16" t="s">
        <v>21</v>
      </c>
      <c r="AU58" s="16" t="s">
        <v>22</v>
      </c>
      <c r="AV58" s="16" t="s">
        <v>23</v>
      </c>
      <c r="AW58" s="16" t="s">
        <v>24</v>
      </c>
      <c r="AX58" s="20"/>
    </row>
    <row r="59" ht="15.75" customHeight="1">
      <c r="A59" s="16" t="s">
        <v>33</v>
      </c>
      <c r="B59" s="8" t="s">
        <v>471</v>
      </c>
      <c r="C59" s="8"/>
      <c r="D59" s="8"/>
      <c r="E59" s="8"/>
      <c r="F59" s="8"/>
      <c r="G59" s="8"/>
      <c r="H59" s="8"/>
      <c r="I59" s="8"/>
      <c r="J59" s="9"/>
      <c r="K59" s="16" t="s">
        <v>33</v>
      </c>
      <c r="L59" s="8"/>
      <c r="M59" s="8"/>
      <c r="N59" s="8"/>
      <c r="O59" s="8"/>
      <c r="P59" s="8"/>
      <c r="Q59" s="8"/>
      <c r="R59" s="8" t="s">
        <v>446</v>
      </c>
      <c r="S59" s="8"/>
      <c r="T59" s="9"/>
      <c r="U59" s="16" t="s">
        <v>33</v>
      </c>
      <c r="V59" s="8"/>
      <c r="W59" s="22" t="s">
        <v>408</v>
      </c>
      <c r="X59" s="22" t="s">
        <v>166</v>
      </c>
      <c r="Y59" s="8"/>
      <c r="Z59" s="8"/>
      <c r="AA59" s="22" t="s">
        <v>472</v>
      </c>
      <c r="AB59" s="8"/>
      <c r="AC59" s="8"/>
      <c r="AD59" s="9"/>
      <c r="AE59" s="16" t="s">
        <v>33</v>
      </c>
      <c r="AF59" s="8" t="s">
        <v>473</v>
      </c>
      <c r="AG59" s="8"/>
      <c r="AH59" s="8"/>
      <c r="AI59" s="8"/>
      <c r="AJ59" s="8"/>
      <c r="AK59" s="8"/>
      <c r="AL59" s="8"/>
      <c r="AM59" s="8"/>
      <c r="AN59" s="9"/>
      <c r="AO59" s="16" t="s">
        <v>33</v>
      </c>
      <c r="AP59" s="8" t="s">
        <v>474</v>
      </c>
      <c r="AQ59" s="8"/>
      <c r="AR59" s="8"/>
      <c r="AS59" s="8" t="s">
        <v>475</v>
      </c>
      <c r="AT59" s="8"/>
      <c r="AU59" s="8"/>
      <c r="AV59" s="8"/>
      <c r="AW59" s="8"/>
      <c r="AX59" s="9"/>
    </row>
    <row r="60" ht="15.75" customHeight="1">
      <c r="A60" s="16" t="s">
        <v>38</v>
      </c>
      <c r="B60" s="8" t="s">
        <v>471</v>
      </c>
      <c r="C60" s="8"/>
      <c r="D60" s="8"/>
      <c r="E60" s="8"/>
      <c r="F60" s="8"/>
      <c r="G60" s="8"/>
      <c r="H60" s="8"/>
      <c r="I60" s="8"/>
      <c r="J60" s="9"/>
      <c r="K60" s="16" t="s">
        <v>38</v>
      </c>
      <c r="L60" s="8"/>
      <c r="M60" s="8"/>
      <c r="N60" s="8"/>
      <c r="O60" s="8"/>
      <c r="P60" s="8"/>
      <c r="Q60" s="8"/>
      <c r="R60" s="8"/>
      <c r="S60" s="8"/>
      <c r="T60" s="9"/>
      <c r="U60" s="16" t="s">
        <v>38</v>
      </c>
      <c r="V60" s="8"/>
      <c r="W60" s="22" t="s">
        <v>472</v>
      </c>
      <c r="X60" s="22" t="s">
        <v>166</v>
      </c>
      <c r="Y60" s="8"/>
      <c r="Z60" s="8"/>
      <c r="AA60" s="22" t="s">
        <v>408</v>
      </c>
      <c r="AB60" s="8"/>
      <c r="AC60" s="8" t="s">
        <v>191</v>
      </c>
      <c r="AD60" s="9"/>
      <c r="AE60" s="16" t="s">
        <v>38</v>
      </c>
      <c r="AF60" s="8" t="s">
        <v>479</v>
      </c>
      <c r="AG60" s="8"/>
      <c r="AH60" s="8"/>
      <c r="AI60" s="8"/>
      <c r="AJ60" s="8"/>
      <c r="AK60" s="8"/>
      <c r="AL60" s="8"/>
      <c r="AM60" s="8"/>
      <c r="AN60" s="9"/>
      <c r="AO60" s="16" t="s">
        <v>38</v>
      </c>
      <c r="AP60" s="8" t="s">
        <v>475</v>
      </c>
      <c r="AQ60" s="8"/>
      <c r="AR60" s="8"/>
      <c r="AS60" s="8"/>
      <c r="AT60" s="8"/>
      <c r="AU60" s="8"/>
      <c r="AV60" s="8"/>
      <c r="AW60" s="8"/>
      <c r="AX60" s="9"/>
    </row>
    <row r="61" ht="15.75" customHeight="1">
      <c r="A61" s="16" t="s">
        <v>44</v>
      </c>
      <c r="B61" s="8"/>
      <c r="C61" s="8"/>
      <c r="D61" s="8"/>
      <c r="E61" s="8"/>
      <c r="F61" s="8"/>
      <c r="G61" s="8"/>
      <c r="H61" s="8" t="s">
        <v>471</v>
      </c>
      <c r="I61" s="8" t="s">
        <v>471</v>
      </c>
      <c r="J61" s="9"/>
      <c r="K61" s="16" t="s">
        <v>44</v>
      </c>
      <c r="L61" s="8"/>
      <c r="M61" s="8"/>
      <c r="N61" s="8" t="s">
        <v>446</v>
      </c>
      <c r="O61" s="8"/>
      <c r="P61" s="8"/>
      <c r="Q61" s="8"/>
      <c r="R61" s="8"/>
      <c r="S61" s="8"/>
      <c r="T61" s="9"/>
      <c r="U61" s="16" t="s">
        <v>44</v>
      </c>
      <c r="V61" s="8"/>
      <c r="W61" s="22" t="s">
        <v>408</v>
      </c>
      <c r="X61" s="8"/>
      <c r="Y61" s="8" t="s">
        <v>191</v>
      </c>
      <c r="Z61" s="8"/>
      <c r="AA61" s="22" t="s">
        <v>166</v>
      </c>
      <c r="AB61" s="8" t="s">
        <v>206</v>
      </c>
      <c r="AC61" s="8" t="s">
        <v>207</v>
      </c>
      <c r="AD61" s="9"/>
      <c r="AE61" s="16" t="s">
        <v>44</v>
      </c>
      <c r="AF61" s="8" t="s">
        <v>473</v>
      </c>
      <c r="AG61" s="8"/>
      <c r="AH61" s="8"/>
      <c r="AI61" s="8"/>
      <c r="AJ61" s="8"/>
      <c r="AK61" s="8"/>
      <c r="AL61" s="8"/>
      <c r="AM61" s="8"/>
      <c r="AN61" s="9"/>
      <c r="AO61" s="16" t="s">
        <v>44</v>
      </c>
      <c r="AP61" s="8" t="s">
        <v>474</v>
      </c>
      <c r="AQ61" s="8"/>
      <c r="AR61" s="8"/>
      <c r="AS61" s="8"/>
      <c r="AT61" s="8" t="s">
        <v>475</v>
      </c>
      <c r="AU61" s="8"/>
      <c r="AV61" s="8"/>
      <c r="AW61" s="8"/>
      <c r="AX61" s="9"/>
    </row>
    <row r="62" ht="15.75" customHeight="1">
      <c r="A62" s="16" t="s">
        <v>47</v>
      </c>
      <c r="B62" s="8" t="s">
        <v>471</v>
      </c>
      <c r="C62" s="8"/>
      <c r="D62" s="8"/>
      <c r="E62" s="8"/>
      <c r="F62" s="8"/>
      <c r="G62" s="8"/>
      <c r="H62" s="8"/>
      <c r="I62" s="8"/>
      <c r="J62" s="9"/>
      <c r="K62" s="16" t="s">
        <v>47</v>
      </c>
      <c r="L62" s="8"/>
      <c r="M62" s="8"/>
      <c r="N62" s="8"/>
      <c r="O62" s="8"/>
      <c r="P62" s="8"/>
      <c r="Q62" s="8"/>
      <c r="R62" s="8"/>
      <c r="S62" s="8"/>
      <c r="T62" s="9"/>
      <c r="U62" s="16" t="s">
        <v>47</v>
      </c>
      <c r="V62" s="8"/>
      <c r="W62" s="8" t="s">
        <v>191</v>
      </c>
      <c r="X62" s="8"/>
      <c r="Y62" s="8"/>
      <c r="Z62" s="8"/>
      <c r="AA62" s="8" t="s">
        <v>292</v>
      </c>
      <c r="AB62" s="8" t="s">
        <v>206</v>
      </c>
      <c r="AC62" s="22" t="s">
        <v>472</v>
      </c>
      <c r="AD62" s="9"/>
      <c r="AE62" s="16" t="s">
        <v>47</v>
      </c>
      <c r="AF62" s="8" t="s">
        <v>479</v>
      </c>
      <c r="AG62" s="8"/>
      <c r="AH62" s="8"/>
      <c r="AI62" s="8"/>
      <c r="AJ62" s="8"/>
      <c r="AK62" s="8"/>
      <c r="AL62" s="8"/>
      <c r="AM62" s="8"/>
      <c r="AN62" s="9"/>
      <c r="AO62" s="16" t="s">
        <v>47</v>
      </c>
      <c r="AP62" s="8" t="s">
        <v>475</v>
      </c>
      <c r="AQ62" s="8"/>
      <c r="AR62" s="8"/>
      <c r="AS62" s="8"/>
      <c r="AT62" s="8"/>
      <c r="AU62" s="8"/>
      <c r="AV62" s="8"/>
      <c r="AW62" s="8"/>
      <c r="AX62" s="9"/>
    </row>
    <row r="63" ht="15.75" customHeight="1">
      <c r="A63" s="23" t="s">
        <v>54</v>
      </c>
      <c r="B63" s="24" t="s">
        <v>471</v>
      </c>
      <c r="C63" s="24"/>
      <c r="D63" s="24"/>
      <c r="E63" s="24" t="s">
        <v>495</v>
      </c>
      <c r="F63" s="24" t="s">
        <v>495</v>
      </c>
      <c r="G63" s="24"/>
      <c r="H63" s="24"/>
      <c r="I63" s="24"/>
      <c r="J63" s="25"/>
      <c r="K63" s="23" t="s">
        <v>54</v>
      </c>
      <c r="L63" s="24"/>
      <c r="M63" s="24"/>
      <c r="N63" s="24"/>
      <c r="O63" s="24"/>
      <c r="P63" s="24"/>
      <c r="Q63" s="24"/>
      <c r="R63" s="24"/>
      <c r="S63" s="24"/>
      <c r="T63" s="25"/>
      <c r="U63" s="23" t="s">
        <v>54</v>
      </c>
      <c r="V63" s="24"/>
      <c r="W63" s="24"/>
      <c r="X63" s="26" t="s">
        <v>166</v>
      </c>
      <c r="Y63" s="24" t="s">
        <v>207</v>
      </c>
      <c r="Z63" s="26" t="s">
        <v>472</v>
      </c>
      <c r="AA63" s="24"/>
      <c r="AB63" s="24" t="s">
        <v>191</v>
      </c>
      <c r="AC63" s="26" t="s">
        <v>408</v>
      </c>
      <c r="AD63" s="25"/>
      <c r="AE63" s="23" t="s">
        <v>54</v>
      </c>
      <c r="AF63" s="24" t="s">
        <v>473</v>
      </c>
      <c r="AG63" s="24"/>
      <c r="AH63" s="24"/>
      <c r="AI63" s="24"/>
      <c r="AJ63" s="24"/>
      <c r="AK63" s="24"/>
      <c r="AL63" s="24"/>
      <c r="AM63" s="24"/>
      <c r="AN63" s="25"/>
      <c r="AO63" s="23" t="s">
        <v>54</v>
      </c>
      <c r="AP63" s="24" t="s">
        <v>474</v>
      </c>
      <c r="AQ63" s="24"/>
      <c r="AR63" s="24" t="s">
        <v>475</v>
      </c>
      <c r="AS63" s="24"/>
      <c r="AT63" s="24"/>
      <c r="AU63" s="24"/>
      <c r="AV63" s="24"/>
      <c r="AW63" s="24"/>
      <c r="AX63" s="25"/>
    </row>
    <row r="64" ht="15.75" customHeight="1">
      <c r="A64" t="s">
        <v>350</v>
      </c>
      <c r="B64" s="8"/>
      <c r="C64" s="8"/>
      <c r="D64" s="8"/>
      <c r="E64" s="8"/>
      <c r="F64" s="8"/>
      <c r="G64" s="8"/>
      <c r="H64" s="8"/>
      <c r="I64" s="8"/>
      <c r="J64" s="9"/>
      <c r="K64" t="s">
        <v>355</v>
      </c>
      <c r="L64" s="8"/>
      <c r="M64" s="8"/>
      <c r="N64" s="8"/>
      <c r="O64" s="8"/>
      <c r="P64" s="8"/>
      <c r="Q64" s="8"/>
      <c r="R64" s="8"/>
      <c r="S64" s="8"/>
      <c r="T64" s="9"/>
      <c r="U64" t="s">
        <v>360</v>
      </c>
      <c r="V64" s="8"/>
      <c r="W64" s="8"/>
      <c r="X64" s="8"/>
      <c r="Y64" s="8"/>
      <c r="Z64" s="8"/>
      <c r="AA64" s="8"/>
      <c r="AB64" s="8"/>
      <c r="AC64" s="8"/>
      <c r="AD64" s="9"/>
      <c r="AE64" t="s">
        <v>363</v>
      </c>
      <c r="AF64" s="8"/>
      <c r="AG64" s="8"/>
      <c r="AH64" s="8"/>
      <c r="AI64" s="8"/>
      <c r="AJ64" s="8"/>
      <c r="AK64" s="8"/>
      <c r="AL64" s="8"/>
      <c r="AM64" s="8"/>
      <c r="AN64" s="9"/>
      <c r="AO64" t="s">
        <v>367</v>
      </c>
      <c r="AP64" s="8"/>
      <c r="AQ64" s="8"/>
      <c r="AR64" s="8"/>
      <c r="AS64" s="8"/>
      <c r="AT64" s="8"/>
      <c r="AU64" s="8"/>
      <c r="AV64" s="8"/>
      <c r="AW64" s="8"/>
      <c r="AX64" s="9"/>
    </row>
    <row r="65" ht="15.75" customHeight="1">
      <c r="A65" s="14" t="s">
        <v>28</v>
      </c>
      <c r="B65" s="16" t="s">
        <v>14</v>
      </c>
      <c r="C65" s="16" t="s">
        <v>18</v>
      </c>
      <c r="D65" s="16" t="s">
        <v>19</v>
      </c>
      <c r="E65" s="16" t="s">
        <v>20</v>
      </c>
      <c r="F65" s="16" t="s">
        <v>21</v>
      </c>
      <c r="G65" s="16" t="s">
        <v>22</v>
      </c>
      <c r="H65" s="16" t="s">
        <v>23</v>
      </c>
      <c r="I65" s="16" t="s">
        <v>24</v>
      </c>
      <c r="J65" s="20"/>
      <c r="K65" s="14" t="s">
        <v>28</v>
      </c>
      <c r="L65" s="16" t="s">
        <v>14</v>
      </c>
      <c r="M65" s="16" t="s">
        <v>18</v>
      </c>
      <c r="N65" s="16" t="s">
        <v>19</v>
      </c>
      <c r="O65" s="16" t="s">
        <v>20</v>
      </c>
      <c r="P65" s="16" t="s">
        <v>21</v>
      </c>
      <c r="Q65" s="16" t="s">
        <v>22</v>
      </c>
      <c r="R65" s="16" t="s">
        <v>23</v>
      </c>
      <c r="S65" s="16" t="s">
        <v>24</v>
      </c>
      <c r="T65" s="20"/>
      <c r="U65" s="14" t="s">
        <v>28</v>
      </c>
      <c r="V65" s="16" t="s">
        <v>14</v>
      </c>
      <c r="W65" s="16" t="s">
        <v>18</v>
      </c>
      <c r="X65" s="16" t="s">
        <v>19</v>
      </c>
      <c r="Y65" s="16" t="s">
        <v>20</v>
      </c>
      <c r="Z65" s="16" t="s">
        <v>21</v>
      </c>
      <c r="AA65" s="16" t="s">
        <v>22</v>
      </c>
      <c r="AB65" s="16" t="s">
        <v>23</v>
      </c>
      <c r="AC65" s="16" t="s">
        <v>24</v>
      </c>
      <c r="AD65" s="20"/>
      <c r="AE65" s="14" t="s">
        <v>28</v>
      </c>
      <c r="AF65" s="16" t="s">
        <v>14</v>
      </c>
      <c r="AG65" s="16" t="s">
        <v>18</v>
      </c>
      <c r="AH65" s="16" t="s">
        <v>19</v>
      </c>
      <c r="AI65" s="16" t="s">
        <v>20</v>
      </c>
      <c r="AJ65" s="16" t="s">
        <v>21</v>
      </c>
      <c r="AK65" s="16" t="s">
        <v>22</v>
      </c>
      <c r="AL65" s="16" t="s">
        <v>23</v>
      </c>
      <c r="AM65" s="16" t="s">
        <v>24</v>
      </c>
      <c r="AN65" s="20"/>
      <c r="AO65" s="14" t="s">
        <v>28</v>
      </c>
      <c r="AP65" s="16" t="s">
        <v>14</v>
      </c>
      <c r="AQ65" s="16" t="s">
        <v>18</v>
      </c>
      <c r="AR65" s="16" t="s">
        <v>19</v>
      </c>
      <c r="AS65" s="16" t="s">
        <v>20</v>
      </c>
      <c r="AT65" s="16" t="s">
        <v>21</v>
      </c>
      <c r="AU65" s="16" t="s">
        <v>22</v>
      </c>
      <c r="AV65" s="16" t="s">
        <v>23</v>
      </c>
      <c r="AW65" s="16" t="s">
        <v>24</v>
      </c>
      <c r="AX65" s="20"/>
    </row>
    <row r="66" ht="15.75" customHeight="1">
      <c r="A66" s="16" t="s">
        <v>33</v>
      </c>
      <c r="B66" s="8" t="s">
        <v>497</v>
      </c>
      <c r="C66" s="8" t="s">
        <v>498</v>
      </c>
      <c r="D66" s="8"/>
      <c r="E66" s="8"/>
      <c r="F66" s="8"/>
      <c r="G66" s="8" t="s">
        <v>498</v>
      </c>
      <c r="H66" s="8"/>
      <c r="I66" s="8"/>
      <c r="J66" s="9"/>
      <c r="K66" s="16" t="s">
        <v>33</v>
      </c>
      <c r="L66" s="8" t="s">
        <v>499</v>
      </c>
      <c r="M66" s="8"/>
      <c r="N66" s="8" t="s">
        <v>175</v>
      </c>
      <c r="O66" s="8" t="s">
        <v>499</v>
      </c>
      <c r="P66" s="8"/>
      <c r="Q66" s="8" t="s">
        <v>412</v>
      </c>
      <c r="R66" s="8"/>
      <c r="S66" s="8"/>
      <c r="T66" s="9"/>
      <c r="U66" s="16" t="s">
        <v>33</v>
      </c>
      <c r="V66" s="8"/>
      <c r="W66" s="8"/>
      <c r="X66" s="8"/>
      <c r="Y66" s="8"/>
      <c r="Z66" s="8"/>
      <c r="AA66" s="8"/>
      <c r="AB66" s="8"/>
      <c r="AC66" s="8"/>
      <c r="AD66" s="9"/>
      <c r="AE66" s="16" t="s">
        <v>33</v>
      </c>
      <c r="AF66" s="8" t="s">
        <v>500</v>
      </c>
      <c r="AG66" s="8"/>
      <c r="AH66" s="8"/>
      <c r="AI66" s="8"/>
      <c r="AJ66" s="8"/>
      <c r="AK66" s="8"/>
      <c r="AL66" s="8"/>
      <c r="AM66" s="8"/>
      <c r="AN66" s="9"/>
      <c r="AO66" s="16" t="s">
        <v>33</v>
      </c>
      <c r="AP66" s="8" t="s">
        <v>501</v>
      </c>
      <c r="AQ66" s="8"/>
      <c r="AR66" s="8"/>
      <c r="AS66" s="8"/>
      <c r="AT66" s="8"/>
      <c r="AU66" s="8"/>
      <c r="AV66" s="8"/>
      <c r="AW66" s="8"/>
      <c r="AX66" s="9"/>
      <c r="CP66" t="s">
        <v>502</v>
      </c>
    </row>
    <row r="67" ht="15.75" customHeight="1">
      <c r="A67" s="16" t="s">
        <v>38</v>
      </c>
      <c r="B67" s="8" t="s">
        <v>497</v>
      </c>
      <c r="C67" s="8"/>
      <c r="D67" s="8"/>
      <c r="E67" s="8"/>
      <c r="F67" s="8"/>
      <c r="G67" s="8"/>
      <c r="H67" s="8"/>
      <c r="I67" s="8"/>
      <c r="J67" s="9"/>
      <c r="K67" s="16" t="s">
        <v>38</v>
      </c>
      <c r="L67" s="8" t="s">
        <v>499</v>
      </c>
      <c r="M67" s="8" t="s">
        <v>412</v>
      </c>
      <c r="N67" s="8"/>
      <c r="O67" s="8" t="s">
        <v>419</v>
      </c>
      <c r="P67" s="8" t="s">
        <v>175</v>
      </c>
      <c r="Q67" s="8"/>
      <c r="R67" s="8" t="s">
        <v>504</v>
      </c>
      <c r="S67" s="8"/>
      <c r="T67" s="9"/>
      <c r="U67" s="16" t="s">
        <v>38</v>
      </c>
      <c r="V67" s="8"/>
      <c r="W67" s="8"/>
      <c r="X67" s="8"/>
      <c r="Y67" s="8" t="s">
        <v>505</v>
      </c>
      <c r="Z67" s="8"/>
      <c r="AA67" s="8"/>
      <c r="AB67" s="8"/>
      <c r="AC67" s="8"/>
      <c r="AD67" s="9"/>
      <c r="AE67" s="16" t="s">
        <v>38</v>
      </c>
      <c r="AF67" s="8" t="s">
        <v>507</v>
      </c>
      <c r="AG67" s="8"/>
      <c r="AH67" s="8"/>
      <c r="AI67" s="8"/>
      <c r="AJ67" s="8"/>
      <c r="AK67" s="8"/>
      <c r="AL67" s="8"/>
      <c r="AM67" s="8"/>
      <c r="AN67" s="9"/>
      <c r="AO67" s="16" t="s">
        <v>38</v>
      </c>
      <c r="AP67" s="8" t="s">
        <v>508</v>
      </c>
      <c r="AQ67" s="8"/>
      <c r="AR67" s="8" t="s">
        <v>501</v>
      </c>
      <c r="AS67" s="8"/>
      <c r="AT67" s="8"/>
      <c r="AU67" s="8"/>
      <c r="AV67" s="8"/>
      <c r="AW67" s="8"/>
      <c r="AX67" s="9"/>
    </row>
    <row r="68" ht="15.75" customHeight="1">
      <c r="A68" s="16" t="s">
        <v>44</v>
      </c>
      <c r="B68" s="8" t="s">
        <v>497</v>
      </c>
      <c r="C68" s="8"/>
      <c r="D68" s="8"/>
      <c r="E68" s="8"/>
      <c r="F68" s="8"/>
      <c r="G68" s="8" t="s">
        <v>497</v>
      </c>
      <c r="H68" s="8"/>
      <c r="I68" s="8"/>
      <c r="J68" s="9"/>
      <c r="K68" s="16" t="s">
        <v>44</v>
      </c>
      <c r="L68" s="8" t="s">
        <v>499</v>
      </c>
      <c r="M68" s="8"/>
      <c r="N68" s="8" t="s">
        <v>504</v>
      </c>
      <c r="O68" s="8" t="s">
        <v>504</v>
      </c>
      <c r="P68" s="8"/>
      <c r="Q68" s="8" t="s">
        <v>175</v>
      </c>
      <c r="R68" s="8"/>
      <c r="S68" s="8"/>
      <c r="T68" s="9"/>
      <c r="U68" s="16" t="s">
        <v>44</v>
      </c>
      <c r="V68" s="8"/>
      <c r="W68" s="8"/>
      <c r="X68" s="8"/>
      <c r="Y68" s="8"/>
      <c r="Z68" s="8"/>
      <c r="AA68" s="8"/>
      <c r="AB68" s="8"/>
      <c r="AC68" s="8"/>
      <c r="AD68" s="9"/>
      <c r="AE68" s="16" t="s">
        <v>44</v>
      </c>
      <c r="AF68" s="8" t="s">
        <v>500</v>
      </c>
      <c r="AG68" s="8"/>
      <c r="AH68" s="8"/>
      <c r="AI68" s="8"/>
      <c r="AJ68" s="8"/>
      <c r="AK68" s="8"/>
      <c r="AL68" s="8"/>
      <c r="AM68" s="8"/>
      <c r="AN68" s="9"/>
      <c r="AO68" s="16" t="s">
        <v>44</v>
      </c>
      <c r="AP68" s="8" t="s">
        <v>501</v>
      </c>
      <c r="AQ68" s="8"/>
      <c r="AR68" s="8"/>
      <c r="AS68" s="8"/>
      <c r="AT68" s="8"/>
      <c r="AU68" s="8"/>
      <c r="AV68" s="8"/>
      <c r="AW68" s="8"/>
      <c r="AX68" s="9"/>
    </row>
    <row r="69" ht="15.75" customHeight="1">
      <c r="A69" s="16" t="s">
        <v>47</v>
      </c>
      <c r="B69" s="8" t="s">
        <v>497</v>
      </c>
      <c r="C69" s="8"/>
      <c r="D69" s="8"/>
      <c r="E69" s="8"/>
      <c r="F69" s="8"/>
      <c r="G69" s="8"/>
      <c r="H69" s="8"/>
      <c r="I69" s="8"/>
      <c r="J69" s="9"/>
      <c r="K69" s="16" t="s">
        <v>47</v>
      </c>
      <c r="L69" s="8" t="s">
        <v>499</v>
      </c>
      <c r="M69" s="8"/>
      <c r="N69" s="8"/>
      <c r="O69" s="8" t="s">
        <v>419</v>
      </c>
      <c r="P69" s="8"/>
      <c r="Q69" s="8" t="s">
        <v>504</v>
      </c>
      <c r="R69" s="8" t="s">
        <v>175</v>
      </c>
      <c r="S69" s="8" t="s">
        <v>175</v>
      </c>
      <c r="T69" s="9"/>
      <c r="U69" s="16" t="s">
        <v>47</v>
      </c>
      <c r="V69" s="8"/>
      <c r="W69" s="8"/>
      <c r="X69" s="8"/>
      <c r="Y69" s="8" t="s">
        <v>505</v>
      </c>
      <c r="Z69" s="8"/>
      <c r="AA69" s="8"/>
      <c r="AB69" s="8"/>
      <c r="AC69" s="8"/>
      <c r="AD69" s="9"/>
      <c r="AE69" s="16" t="s">
        <v>47</v>
      </c>
      <c r="AF69" s="8" t="s">
        <v>507</v>
      </c>
      <c r="AG69" s="8"/>
      <c r="AH69" s="8"/>
      <c r="AI69" s="8"/>
      <c r="AJ69" s="8"/>
      <c r="AK69" s="8"/>
      <c r="AL69" s="8"/>
      <c r="AM69" s="8"/>
      <c r="AN69" s="9"/>
      <c r="AO69" s="16" t="s">
        <v>47</v>
      </c>
      <c r="AP69" s="8" t="s">
        <v>508</v>
      </c>
      <c r="AQ69" s="8"/>
      <c r="AR69" s="8" t="s">
        <v>501</v>
      </c>
      <c r="AS69" s="8"/>
      <c r="AT69" s="8"/>
      <c r="AU69" s="8"/>
      <c r="AV69" s="8"/>
      <c r="AW69" s="8"/>
      <c r="AX69" s="9"/>
    </row>
    <row r="70" ht="15.75" customHeight="1">
      <c r="A70" s="23" t="s">
        <v>54</v>
      </c>
      <c r="B70" s="24" t="s">
        <v>497</v>
      </c>
      <c r="C70" s="24"/>
      <c r="D70" s="24"/>
      <c r="E70" s="24"/>
      <c r="F70" s="24"/>
      <c r="G70" s="24"/>
      <c r="H70" s="24"/>
      <c r="I70" s="24"/>
      <c r="J70" s="25"/>
      <c r="K70" s="23" t="s">
        <v>54</v>
      </c>
      <c r="L70" s="24" t="s">
        <v>499</v>
      </c>
      <c r="M70" s="24"/>
      <c r="N70" s="24" t="s">
        <v>175</v>
      </c>
      <c r="O70" s="24" t="s">
        <v>504</v>
      </c>
      <c r="P70" s="24"/>
      <c r="Q70" s="24"/>
      <c r="R70" s="24"/>
      <c r="S70" s="24" t="s">
        <v>419</v>
      </c>
      <c r="T70" s="25"/>
      <c r="U70" s="23" t="s">
        <v>54</v>
      </c>
      <c r="V70" s="24"/>
      <c r="W70" s="24"/>
      <c r="X70" s="24"/>
      <c r="Y70" s="24"/>
      <c r="Z70" s="24"/>
      <c r="AA70" s="24"/>
      <c r="AB70" s="24"/>
      <c r="AC70" s="24" t="s">
        <v>505</v>
      </c>
      <c r="AD70" s="25"/>
      <c r="AE70" s="23" t="s">
        <v>54</v>
      </c>
      <c r="AF70" s="24" t="s">
        <v>500</v>
      </c>
      <c r="AG70" s="24"/>
      <c r="AH70" s="24"/>
      <c r="AI70" s="24"/>
      <c r="AJ70" s="24"/>
      <c r="AK70" s="24"/>
      <c r="AL70" s="24"/>
      <c r="AM70" s="24"/>
      <c r="AN70" s="25"/>
      <c r="AO70" s="23" t="s">
        <v>54</v>
      </c>
      <c r="AP70" s="24" t="s">
        <v>501</v>
      </c>
      <c r="AQ70" s="24"/>
      <c r="AR70" s="24"/>
      <c r="AS70" s="24"/>
      <c r="AT70" s="24"/>
      <c r="AU70" s="24"/>
      <c r="AV70" s="24"/>
      <c r="AW70" s="24"/>
      <c r="AX70" s="25"/>
    </row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0.57"/>
    <col customWidth="1" min="3" max="11" width="8.71"/>
    <col customWidth="1" min="12" max="12" width="10.57"/>
    <col customWidth="1" min="13" max="51" width="8.71"/>
  </cols>
  <sheetData>
    <row r="1">
      <c r="A1" s="14" t="s">
        <v>139</v>
      </c>
      <c r="B1" s="8"/>
      <c r="C1" s="8"/>
      <c r="D1" s="8"/>
      <c r="E1" s="8"/>
      <c r="F1" s="8"/>
      <c r="G1" s="8"/>
      <c r="H1" s="8"/>
      <c r="I1" s="8"/>
      <c r="J1" s="9"/>
      <c r="K1" s="14" t="s">
        <v>148</v>
      </c>
      <c r="L1" s="8"/>
      <c r="M1" s="8"/>
      <c r="N1" s="8"/>
      <c r="O1" s="8"/>
      <c r="P1" s="8"/>
      <c r="Q1" s="8"/>
      <c r="R1" s="8"/>
      <c r="S1" s="8"/>
      <c r="T1" s="9"/>
      <c r="U1" s="14" t="s">
        <v>150</v>
      </c>
      <c r="V1" s="8"/>
      <c r="W1" s="8"/>
      <c r="X1" s="8"/>
      <c r="Y1" s="8"/>
      <c r="Z1" s="8"/>
      <c r="AA1" s="8"/>
      <c r="AB1" s="8"/>
      <c r="AC1" s="8"/>
      <c r="AD1" s="9"/>
      <c r="AE1" s="14" t="s">
        <v>154</v>
      </c>
      <c r="AF1" s="8"/>
      <c r="AG1" s="8"/>
      <c r="AH1" s="8"/>
      <c r="AI1" s="8"/>
      <c r="AJ1" s="8"/>
      <c r="AK1" s="8"/>
      <c r="AL1" s="8"/>
      <c r="AM1" s="8"/>
      <c r="AN1" s="9"/>
      <c r="AO1" s="14" t="s">
        <v>159</v>
      </c>
      <c r="AP1" s="8"/>
      <c r="AQ1" s="8"/>
      <c r="AR1" s="8"/>
      <c r="AS1" s="8"/>
      <c r="AT1" s="8"/>
      <c r="AU1" s="8"/>
      <c r="AV1" s="8"/>
      <c r="AW1" s="8"/>
      <c r="AX1" s="9"/>
      <c r="AY1" s="8"/>
    </row>
    <row r="2">
      <c r="A2" s="14" t="s">
        <v>28</v>
      </c>
      <c r="B2" s="16" t="s">
        <v>14</v>
      </c>
      <c r="C2" s="16" t="s">
        <v>18</v>
      </c>
      <c r="D2" s="16" t="s">
        <v>19</v>
      </c>
      <c r="E2" s="16" t="s">
        <v>20</v>
      </c>
      <c r="F2" s="16" t="s">
        <v>21</v>
      </c>
      <c r="G2" s="16" t="s">
        <v>22</v>
      </c>
      <c r="H2" s="16" t="s">
        <v>23</v>
      </c>
      <c r="I2" s="16" t="s">
        <v>24</v>
      </c>
      <c r="J2" s="20"/>
      <c r="K2" s="14" t="s">
        <v>28</v>
      </c>
      <c r="L2" s="16" t="s">
        <v>14</v>
      </c>
      <c r="M2" s="16" t="s">
        <v>18</v>
      </c>
      <c r="N2" s="16" t="s">
        <v>19</v>
      </c>
      <c r="O2" s="16" t="s">
        <v>20</v>
      </c>
      <c r="P2" s="16" t="s">
        <v>21</v>
      </c>
      <c r="Q2" s="16" t="s">
        <v>22</v>
      </c>
      <c r="R2" s="16" t="s">
        <v>23</v>
      </c>
      <c r="S2" s="16" t="s">
        <v>24</v>
      </c>
      <c r="T2" s="20"/>
      <c r="U2" s="14" t="s">
        <v>28</v>
      </c>
      <c r="V2" s="16" t="s">
        <v>14</v>
      </c>
      <c r="W2" s="16" t="s">
        <v>18</v>
      </c>
      <c r="X2" s="16" t="s">
        <v>19</v>
      </c>
      <c r="Y2" s="16" t="s">
        <v>20</v>
      </c>
      <c r="Z2" s="16" t="s">
        <v>21</v>
      </c>
      <c r="AA2" s="16" t="s">
        <v>22</v>
      </c>
      <c r="AB2" s="16" t="s">
        <v>23</v>
      </c>
      <c r="AC2" s="16" t="s">
        <v>24</v>
      </c>
      <c r="AD2" s="20"/>
      <c r="AE2" s="14" t="s">
        <v>28</v>
      </c>
      <c r="AF2" s="16" t="s">
        <v>14</v>
      </c>
      <c r="AG2" s="16" t="s">
        <v>18</v>
      </c>
      <c r="AH2" s="16" t="s">
        <v>19</v>
      </c>
      <c r="AI2" s="16" t="s">
        <v>20</v>
      </c>
      <c r="AJ2" s="16" t="s">
        <v>21</v>
      </c>
      <c r="AK2" s="16" t="s">
        <v>22</v>
      </c>
      <c r="AL2" s="16" t="s">
        <v>23</v>
      </c>
      <c r="AM2" s="16" t="s">
        <v>24</v>
      </c>
      <c r="AN2" s="20"/>
      <c r="AO2" s="14" t="s">
        <v>28</v>
      </c>
      <c r="AP2" s="16" t="s">
        <v>14</v>
      </c>
      <c r="AQ2" s="16" t="s">
        <v>18</v>
      </c>
      <c r="AR2" s="16" t="s">
        <v>19</v>
      </c>
      <c r="AS2" s="16" t="s">
        <v>20</v>
      </c>
      <c r="AT2" s="16" t="s">
        <v>21</v>
      </c>
      <c r="AU2" s="16" t="s">
        <v>22</v>
      </c>
      <c r="AV2" s="16" t="s">
        <v>23</v>
      </c>
      <c r="AW2" s="16" t="s">
        <v>24</v>
      </c>
      <c r="AX2" s="20"/>
      <c r="AY2" s="8"/>
    </row>
    <row r="3">
      <c r="A3" s="16" t="s">
        <v>33</v>
      </c>
      <c r="B3" s="8" t="s">
        <v>389</v>
      </c>
      <c r="C3" s="8"/>
      <c r="D3" s="8"/>
      <c r="E3" s="8"/>
      <c r="F3" s="8" t="s">
        <v>390</v>
      </c>
      <c r="G3" s="8"/>
      <c r="H3" s="8" t="s">
        <v>391</v>
      </c>
      <c r="I3" s="8"/>
      <c r="J3" s="9"/>
      <c r="K3" s="16" t="s">
        <v>33</v>
      </c>
      <c r="L3" s="8" t="s">
        <v>392</v>
      </c>
      <c r="M3" s="8"/>
      <c r="N3" s="8"/>
      <c r="O3" s="8"/>
      <c r="P3" s="8" t="s">
        <v>390</v>
      </c>
      <c r="Q3" s="8"/>
      <c r="R3" s="8" t="s">
        <v>391</v>
      </c>
      <c r="S3" s="8"/>
      <c r="T3" s="9"/>
      <c r="U3" s="16" t="s">
        <v>33</v>
      </c>
      <c r="V3" s="8" t="s">
        <v>393</v>
      </c>
      <c r="W3" s="8"/>
      <c r="X3" s="8"/>
      <c r="Y3" s="8"/>
      <c r="Z3" s="8" t="s">
        <v>394</v>
      </c>
      <c r="AA3" s="8"/>
      <c r="AB3" s="8" t="s">
        <v>395</v>
      </c>
      <c r="AC3" s="8"/>
      <c r="AD3" s="9"/>
      <c r="AE3" s="16" t="s">
        <v>33</v>
      </c>
      <c r="AF3" s="8" t="s">
        <v>396</v>
      </c>
      <c r="AG3" s="8"/>
      <c r="AH3" s="8"/>
      <c r="AI3" s="8"/>
      <c r="AJ3" s="8" t="s">
        <v>394</v>
      </c>
      <c r="AK3" s="8"/>
      <c r="AL3" s="8" t="s">
        <v>395</v>
      </c>
      <c r="AM3" s="8"/>
      <c r="AN3" s="9"/>
      <c r="AO3" s="16" t="s">
        <v>33</v>
      </c>
      <c r="AP3" s="8" t="s">
        <v>397</v>
      </c>
      <c r="AQ3" s="8"/>
      <c r="AR3" s="8" t="s">
        <v>398</v>
      </c>
      <c r="AS3" s="8"/>
      <c r="AT3" s="8"/>
      <c r="AU3" s="8"/>
      <c r="AV3" s="8"/>
      <c r="AW3" s="8"/>
      <c r="AX3" s="9"/>
      <c r="AY3" s="8"/>
    </row>
    <row r="4">
      <c r="A4" s="16" t="s">
        <v>38</v>
      </c>
      <c r="B4" s="8" t="s">
        <v>399</v>
      </c>
      <c r="C4" s="8"/>
      <c r="D4" s="8"/>
      <c r="E4" s="8"/>
      <c r="F4" s="8" t="s">
        <v>390</v>
      </c>
      <c r="G4" s="8"/>
      <c r="H4" s="8"/>
      <c r="I4" s="8" t="s">
        <v>400</v>
      </c>
      <c r="J4" s="9"/>
      <c r="K4" s="16" t="s">
        <v>38</v>
      </c>
      <c r="L4" s="8" t="s">
        <v>401</v>
      </c>
      <c r="M4" s="8"/>
      <c r="N4" s="8"/>
      <c r="O4" s="8"/>
      <c r="P4" s="8" t="s">
        <v>390</v>
      </c>
      <c r="Q4" s="8"/>
      <c r="R4" s="8"/>
      <c r="S4" s="8" t="s">
        <v>400</v>
      </c>
      <c r="T4" s="9"/>
      <c r="U4" s="16" t="s">
        <v>38</v>
      </c>
      <c r="V4" s="8" t="s">
        <v>402</v>
      </c>
      <c r="W4" s="8"/>
      <c r="X4" s="8"/>
      <c r="Y4" s="8"/>
      <c r="Z4" s="8" t="s">
        <v>394</v>
      </c>
      <c r="AA4" s="8"/>
      <c r="AB4" s="8"/>
      <c r="AC4" s="8"/>
      <c r="AD4" s="9"/>
      <c r="AE4" s="16" t="s">
        <v>38</v>
      </c>
      <c r="AF4" s="8" t="s">
        <v>406</v>
      </c>
      <c r="AG4" s="8"/>
      <c r="AH4" s="8"/>
      <c r="AI4" s="8"/>
      <c r="AJ4" s="8" t="s">
        <v>394</v>
      </c>
      <c r="AK4" s="8"/>
      <c r="AL4" s="8"/>
      <c r="AM4" s="8"/>
      <c r="AN4" s="9"/>
      <c r="AO4" s="16" t="s">
        <v>38</v>
      </c>
      <c r="AP4" s="8" t="s">
        <v>409</v>
      </c>
      <c r="AQ4" s="8"/>
      <c r="AR4" s="8" t="s">
        <v>398</v>
      </c>
      <c r="AS4" s="8"/>
      <c r="AT4" s="8"/>
      <c r="AU4" s="8"/>
      <c r="AV4" s="8"/>
      <c r="AW4" s="8"/>
      <c r="AX4" s="9"/>
      <c r="AY4" s="8"/>
    </row>
    <row r="5">
      <c r="A5" s="16" t="s">
        <v>44</v>
      </c>
      <c r="B5" s="8" t="s">
        <v>389</v>
      </c>
      <c r="C5" s="8"/>
      <c r="D5" s="8" t="s">
        <v>391</v>
      </c>
      <c r="E5" s="8"/>
      <c r="F5" s="8"/>
      <c r="G5" s="8" t="s">
        <v>399</v>
      </c>
      <c r="H5" s="8"/>
      <c r="I5" s="8"/>
      <c r="J5" s="9"/>
      <c r="K5" s="16" t="s">
        <v>44</v>
      </c>
      <c r="L5" s="8" t="s">
        <v>392</v>
      </c>
      <c r="M5" s="8"/>
      <c r="N5" s="8" t="s">
        <v>391</v>
      </c>
      <c r="O5" s="8" t="s">
        <v>401</v>
      </c>
      <c r="P5" s="8"/>
      <c r="Q5" s="8"/>
      <c r="R5" s="8"/>
      <c r="S5" s="8"/>
      <c r="T5" s="9"/>
      <c r="U5" s="16" t="s">
        <v>44</v>
      </c>
      <c r="V5" s="8" t="s">
        <v>393</v>
      </c>
      <c r="W5" s="8"/>
      <c r="X5" s="8" t="s">
        <v>395</v>
      </c>
      <c r="Y5" s="8"/>
      <c r="Z5" s="8"/>
      <c r="AA5" s="8"/>
      <c r="AB5" s="8"/>
      <c r="AC5" s="8" t="s">
        <v>400</v>
      </c>
      <c r="AD5" s="9"/>
      <c r="AE5" s="16" t="s">
        <v>44</v>
      </c>
      <c r="AF5" s="8" t="s">
        <v>396</v>
      </c>
      <c r="AG5" s="8"/>
      <c r="AH5" s="8" t="s">
        <v>395</v>
      </c>
      <c r="AI5" s="8"/>
      <c r="AJ5" s="8"/>
      <c r="AK5" s="8" t="s">
        <v>406</v>
      </c>
      <c r="AL5" s="8"/>
      <c r="AM5" s="8"/>
      <c r="AN5" s="9"/>
      <c r="AO5" s="16" t="s">
        <v>44</v>
      </c>
      <c r="AP5" s="8" t="s">
        <v>397</v>
      </c>
      <c r="AQ5" s="8"/>
      <c r="AR5" s="8"/>
      <c r="AS5" s="8"/>
      <c r="AT5" s="8"/>
      <c r="AU5" s="8" t="s">
        <v>398</v>
      </c>
      <c r="AV5" s="8"/>
      <c r="AW5" s="8" t="s">
        <v>416</v>
      </c>
      <c r="AX5" s="9"/>
      <c r="AY5" s="8"/>
    </row>
    <row r="6">
      <c r="A6" s="16" t="s">
        <v>47</v>
      </c>
      <c r="B6" s="8" t="s">
        <v>399</v>
      </c>
      <c r="C6" s="8"/>
      <c r="D6" s="8" t="s">
        <v>390</v>
      </c>
      <c r="E6" s="8"/>
      <c r="F6" s="8"/>
      <c r="G6" s="8"/>
      <c r="H6" s="8"/>
      <c r="I6" s="8"/>
      <c r="J6" s="9"/>
      <c r="K6" s="16" t="s">
        <v>47</v>
      </c>
      <c r="L6" s="8" t="s">
        <v>401</v>
      </c>
      <c r="M6" s="8"/>
      <c r="N6" s="8" t="s">
        <v>390</v>
      </c>
      <c r="O6" s="8"/>
      <c r="P6" s="8"/>
      <c r="Q6" s="8"/>
      <c r="R6" s="8"/>
      <c r="S6" s="8"/>
      <c r="T6" s="9"/>
      <c r="U6" s="16" t="s">
        <v>47</v>
      </c>
      <c r="V6" s="8" t="s">
        <v>402</v>
      </c>
      <c r="W6" s="8"/>
      <c r="X6" s="8" t="s">
        <v>394</v>
      </c>
      <c r="Y6" s="8"/>
      <c r="Z6" s="8"/>
      <c r="AA6" s="8"/>
      <c r="AB6" s="8"/>
      <c r="AC6" s="8"/>
      <c r="AD6" s="9"/>
      <c r="AE6" s="16" t="s">
        <v>47</v>
      </c>
      <c r="AF6" s="8" t="s">
        <v>406</v>
      </c>
      <c r="AG6" s="8"/>
      <c r="AH6" s="8" t="s">
        <v>394</v>
      </c>
      <c r="AI6" s="8"/>
      <c r="AJ6" s="8"/>
      <c r="AK6" s="8"/>
      <c r="AL6" s="8"/>
      <c r="AM6" s="8"/>
      <c r="AN6" s="9"/>
      <c r="AO6" s="16" t="s">
        <v>47</v>
      </c>
      <c r="AP6" s="8" t="s">
        <v>409</v>
      </c>
      <c r="AQ6" s="8"/>
      <c r="AR6" s="8"/>
      <c r="AS6" s="8"/>
      <c r="AT6" s="8"/>
      <c r="AU6" s="8"/>
      <c r="AV6" s="8"/>
      <c r="AW6" s="8"/>
      <c r="AX6" s="9"/>
      <c r="AY6" s="8"/>
    </row>
    <row r="7">
      <c r="A7" s="23" t="s">
        <v>54</v>
      </c>
      <c r="B7" s="24" t="s">
        <v>389</v>
      </c>
      <c r="C7" s="24" t="s">
        <v>390</v>
      </c>
      <c r="D7" s="24"/>
      <c r="E7" s="24"/>
      <c r="F7" s="24"/>
      <c r="G7" s="24"/>
      <c r="H7" s="24"/>
      <c r="I7" s="24"/>
      <c r="J7" s="25"/>
      <c r="K7" s="23" t="s">
        <v>54</v>
      </c>
      <c r="L7" s="24" t="s">
        <v>392</v>
      </c>
      <c r="M7" s="24" t="s">
        <v>390</v>
      </c>
      <c r="N7" s="24"/>
      <c r="O7" s="24"/>
      <c r="P7" s="24"/>
      <c r="Q7" s="24"/>
      <c r="R7" s="24"/>
      <c r="S7" s="24"/>
      <c r="T7" s="25"/>
      <c r="U7" s="23" t="s">
        <v>54</v>
      </c>
      <c r="V7" s="24" t="s">
        <v>393</v>
      </c>
      <c r="W7" s="24" t="s">
        <v>394</v>
      </c>
      <c r="X7" s="24"/>
      <c r="Y7" s="24"/>
      <c r="Z7" s="24"/>
      <c r="AA7" s="24"/>
      <c r="AB7" s="24"/>
      <c r="AC7" s="24"/>
      <c r="AD7" s="25"/>
      <c r="AE7" s="23" t="s">
        <v>54</v>
      </c>
      <c r="AF7" s="24" t="s">
        <v>396</v>
      </c>
      <c r="AG7" s="24" t="s">
        <v>394</v>
      </c>
      <c r="AH7" s="24" t="s">
        <v>406</v>
      </c>
      <c r="AI7" s="24"/>
      <c r="AJ7" s="24"/>
      <c r="AK7" s="24"/>
      <c r="AL7" s="24"/>
      <c r="AM7" s="24"/>
      <c r="AN7" s="25"/>
      <c r="AO7" s="23" t="s">
        <v>54</v>
      </c>
      <c r="AP7" s="24" t="s">
        <v>397</v>
      </c>
      <c r="AQ7" s="24"/>
      <c r="AR7" s="24" t="s">
        <v>398</v>
      </c>
      <c r="AS7" s="24" t="s">
        <v>416</v>
      </c>
      <c r="AT7" s="24"/>
      <c r="AU7" s="24"/>
      <c r="AV7" s="24"/>
      <c r="AW7" s="24"/>
      <c r="AX7" s="25"/>
      <c r="AY7" s="24"/>
    </row>
    <row r="8">
      <c r="A8" s="14" t="s">
        <v>162</v>
      </c>
      <c r="B8" s="8"/>
      <c r="C8" s="8"/>
      <c r="D8" s="8"/>
      <c r="E8" s="8"/>
      <c r="F8" s="8"/>
      <c r="G8" s="8"/>
      <c r="H8" s="8"/>
      <c r="I8" s="8"/>
      <c r="J8" s="9"/>
      <c r="K8" s="14" t="s">
        <v>165</v>
      </c>
      <c r="L8" s="8"/>
      <c r="M8" s="8"/>
      <c r="N8" s="8"/>
      <c r="O8" s="8"/>
      <c r="P8" s="8"/>
      <c r="Q8" s="8"/>
      <c r="R8" s="8"/>
      <c r="S8" s="8"/>
      <c r="T8" s="9"/>
      <c r="U8" s="14" t="s">
        <v>170</v>
      </c>
      <c r="V8" s="8"/>
      <c r="W8" s="8"/>
      <c r="X8" s="8"/>
      <c r="Y8" s="8"/>
      <c r="Z8" s="8"/>
      <c r="AA8" s="8"/>
      <c r="AB8" s="8"/>
      <c r="AC8" s="8"/>
      <c r="AD8" s="9"/>
      <c r="AE8" s="14" t="s">
        <v>174</v>
      </c>
      <c r="AF8" s="8"/>
      <c r="AG8" s="8"/>
      <c r="AH8" s="8"/>
      <c r="AI8" s="8"/>
      <c r="AJ8" s="8"/>
      <c r="AK8" s="8"/>
      <c r="AL8" s="8"/>
      <c r="AM8" s="8"/>
      <c r="AN8" s="9"/>
      <c r="AO8" s="14" t="s">
        <v>179</v>
      </c>
      <c r="AP8" s="8"/>
      <c r="AQ8" s="8"/>
      <c r="AR8" s="8"/>
      <c r="AS8" s="8"/>
      <c r="AT8" s="8"/>
      <c r="AU8" s="8"/>
      <c r="AV8" s="8"/>
      <c r="AW8" s="8"/>
      <c r="AX8" s="9"/>
      <c r="AY8" s="8"/>
    </row>
    <row r="9">
      <c r="A9" s="14" t="s">
        <v>28</v>
      </c>
      <c r="B9" s="16" t="s">
        <v>14</v>
      </c>
      <c r="C9" s="16" t="s">
        <v>18</v>
      </c>
      <c r="D9" s="16" t="s">
        <v>19</v>
      </c>
      <c r="E9" s="16" t="s">
        <v>20</v>
      </c>
      <c r="F9" s="16" t="s">
        <v>21</v>
      </c>
      <c r="G9" s="16" t="s">
        <v>22</v>
      </c>
      <c r="H9" s="16" t="s">
        <v>23</v>
      </c>
      <c r="I9" s="16" t="s">
        <v>24</v>
      </c>
      <c r="J9" s="20"/>
      <c r="K9" s="14" t="s">
        <v>28</v>
      </c>
      <c r="L9" s="16" t="s">
        <v>14</v>
      </c>
      <c r="M9" s="16" t="s">
        <v>18</v>
      </c>
      <c r="N9" s="16" t="s">
        <v>19</v>
      </c>
      <c r="O9" s="16" t="s">
        <v>20</v>
      </c>
      <c r="P9" s="16" t="s">
        <v>21</v>
      </c>
      <c r="Q9" s="16" t="s">
        <v>22</v>
      </c>
      <c r="R9" s="16" t="s">
        <v>23</v>
      </c>
      <c r="S9" s="16" t="s">
        <v>24</v>
      </c>
      <c r="T9" s="20"/>
      <c r="U9" s="14" t="s">
        <v>28</v>
      </c>
      <c r="V9" s="16" t="s">
        <v>14</v>
      </c>
      <c r="W9" s="16" t="s">
        <v>18</v>
      </c>
      <c r="X9" s="16" t="s">
        <v>19</v>
      </c>
      <c r="Y9" s="16" t="s">
        <v>20</v>
      </c>
      <c r="Z9" s="16" t="s">
        <v>21</v>
      </c>
      <c r="AA9" s="16" t="s">
        <v>22</v>
      </c>
      <c r="AB9" s="16" t="s">
        <v>23</v>
      </c>
      <c r="AC9" s="16" t="s">
        <v>24</v>
      </c>
      <c r="AD9" s="20"/>
      <c r="AE9" s="14" t="s">
        <v>28</v>
      </c>
      <c r="AF9" s="16" t="s">
        <v>14</v>
      </c>
      <c r="AG9" s="16" t="s">
        <v>18</v>
      </c>
      <c r="AH9" s="16" t="s">
        <v>19</v>
      </c>
      <c r="AI9" s="16" t="s">
        <v>20</v>
      </c>
      <c r="AJ9" s="16" t="s">
        <v>21</v>
      </c>
      <c r="AK9" s="16" t="s">
        <v>22</v>
      </c>
      <c r="AL9" s="16" t="s">
        <v>23</v>
      </c>
      <c r="AM9" s="16" t="s">
        <v>24</v>
      </c>
      <c r="AN9" s="20"/>
      <c r="AO9" s="14" t="s">
        <v>28</v>
      </c>
      <c r="AP9" s="16" t="s">
        <v>14</v>
      </c>
      <c r="AQ9" s="16" t="s">
        <v>18</v>
      </c>
      <c r="AR9" s="16" t="s">
        <v>19</v>
      </c>
      <c r="AS9" s="16" t="s">
        <v>20</v>
      </c>
      <c r="AT9" s="16" t="s">
        <v>21</v>
      </c>
      <c r="AU9" s="16" t="s">
        <v>22</v>
      </c>
      <c r="AV9" s="16" t="s">
        <v>23</v>
      </c>
      <c r="AW9" s="16" t="s">
        <v>24</v>
      </c>
      <c r="AX9" s="20"/>
      <c r="AY9" s="8"/>
    </row>
    <row r="10">
      <c r="A10" s="16" t="s">
        <v>33</v>
      </c>
      <c r="B10" s="8" t="s">
        <v>424</v>
      </c>
      <c r="C10" s="8"/>
      <c r="D10" s="8"/>
      <c r="E10" s="8"/>
      <c r="F10" s="8"/>
      <c r="G10" s="8" t="s">
        <v>425</v>
      </c>
      <c r="H10" s="8"/>
      <c r="I10" s="8"/>
      <c r="J10" s="9"/>
      <c r="K10" s="16" t="s">
        <v>33</v>
      </c>
      <c r="L10" s="8" t="s">
        <v>426</v>
      </c>
      <c r="M10" s="8"/>
      <c r="N10" s="8"/>
      <c r="O10" s="8" t="s">
        <v>427</v>
      </c>
      <c r="P10" s="8"/>
      <c r="Q10" s="8"/>
      <c r="R10" s="8"/>
      <c r="S10" s="8"/>
      <c r="T10" s="9"/>
      <c r="U10" s="16" t="s">
        <v>33</v>
      </c>
      <c r="V10" s="8" t="s">
        <v>428</v>
      </c>
      <c r="W10" s="8"/>
      <c r="X10" s="8"/>
      <c r="Y10" s="8"/>
      <c r="Z10" s="8"/>
      <c r="AA10" s="8"/>
      <c r="AB10" s="8"/>
      <c r="AC10" s="8"/>
      <c r="AD10" s="9"/>
      <c r="AE10" s="16" t="s">
        <v>33</v>
      </c>
      <c r="AF10" s="8" t="s">
        <v>429</v>
      </c>
      <c r="AG10" s="8"/>
      <c r="AH10" s="8"/>
      <c r="AI10" s="8" t="s">
        <v>430</v>
      </c>
      <c r="AJ10" s="8"/>
      <c r="AK10" s="8"/>
      <c r="AL10" s="8"/>
      <c r="AM10" s="8"/>
      <c r="AN10" s="9"/>
      <c r="AO10" s="16" t="s">
        <v>33</v>
      </c>
      <c r="AP10" s="8" t="s">
        <v>431</v>
      </c>
      <c r="AQ10" s="8"/>
      <c r="AR10" s="8"/>
      <c r="AS10" s="8"/>
      <c r="AT10" s="8"/>
      <c r="AU10" s="8" t="s">
        <v>432</v>
      </c>
      <c r="AV10" s="8" t="s">
        <v>433</v>
      </c>
      <c r="AW10" s="8" t="s">
        <v>390</v>
      </c>
      <c r="AX10" s="9"/>
      <c r="AY10" s="8"/>
    </row>
    <row r="11">
      <c r="A11" s="16" t="s">
        <v>38</v>
      </c>
      <c r="B11" s="8" t="s">
        <v>425</v>
      </c>
      <c r="C11" s="8"/>
      <c r="D11" s="8"/>
      <c r="E11" s="8"/>
      <c r="F11" s="8"/>
      <c r="G11" s="8"/>
      <c r="H11" s="8"/>
      <c r="I11" s="8" t="s">
        <v>394</v>
      </c>
      <c r="J11" s="9"/>
      <c r="K11" s="16" t="s">
        <v>38</v>
      </c>
      <c r="L11" s="8" t="s">
        <v>434</v>
      </c>
      <c r="M11" s="8"/>
      <c r="N11" s="8"/>
      <c r="O11" s="8"/>
      <c r="P11" s="8"/>
      <c r="Q11" s="8"/>
      <c r="R11" s="8"/>
      <c r="S11" s="8" t="s">
        <v>394</v>
      </c>
      <c r="T11" s="9"/>
      <c r="U11" s="16" t="s">
        <v>38</v>
      </c>
      <c r="V11" s="8" t="s">
        <v>435</v>
      </c>
      <c r="W11" s="8"/>
      <c r="X11" s="8"/>
      <c r="Y11" s="8"/>
      <c r="Z11" s="8"/>
      <c r="AA11" s="8"/>
      <c r="AB11" s="8"/>
      <c r="AC11" s="8" t="s">
        <v>398</v>
      </c>
      <c r="AD11" s="9"/>
      <c r="AE11" s="16" t="s">
        <v>38</v>
      </c>
      <c r="AF11" s="8" t="s">
        <v>430</v>
      </c>
      <c r="AG11" s="8"/>
      <c r="AH11" s="8"/>
      <c r="AI11" s="8"/>
      <c r="AJ11" s="8"/>
      <c r="AK11" s="8"/>
      <c r="AL11" s="8"/>
      <c r="AM11" s="8" t="s">
        <v>398</v>
      </c>
      <c r="AN11" s="9"/>
      <c r="AO11" s="16" t="s">
        <v>38</v>
      </c>
      <c r="AP11" s="8" t="s">
        <v>432</v>
      </c>
      <c r="AQ11" s="8"/>
      <c r="AR11" s="8"/>
      <c r="AS11" s="8"/>
      <c r="AT11" s="8"/>
      <c r="AU11" s="8"/>
      <c r="AV11" s="8" t="s">
        <v>390</v>
      </c>
      <c r="AW11" s="8"/>
      <c r="AX11" s="9"/>
      <c r="AY11" s="8"/>
    </row>
    <row r="12">
      <c r="A12" s="16" t="s">
        <v>44</v>
      </c>
      <c r="B12" s="8" t="s">
        <v>424</v>
      </c>
      <c r="C12" s="8"/>
      <c r="D12" s="8"/>
      <c r="E12" s="8" t="s">
        <v>394</v>
      </c>
      <c r="F12" s="8"/>
      <c r="G12" s="8"/>
      <c r="H12" s="8" t="s">
        <v>416</v>
      </c>
      <c r="I12" s="8"/>
      <c r="J12" s="9"/>
      <c r="K12" s="16" t="s">
        <v>44</v>
      </c>
      <c r="L12" s="8" t="s">
        <v>426</v>
      </c>
      <c r="M12" s="8"/>
      <c r="N12" s="8"/>
      <c r="O12" s="8" t="s">
        <v>394</v>
      </c>
      <c r="P12" s="8"/>
      <c r="Q12" s="8"/>
      <c r="R12" s="8" t="s">
        <v>416</v>
      </c>
      <c r="S12" s="8" t="s">
        <v>394</v>
      </c>
      <c r="T12" s="9"/>
      <c r="U12" s="16" t="s">
        <v>44</v>
      </c>
      <c r="V12" s="8" t="s">
        <v>428</v>
      </c>
      <c r="W12" s="8"/>
      <c r="X12" s="8"/>
      <c r="Y12" s="8" t="s">
        <v>398</v>
      </c>
      <c r="Z12" s="8"/>
      <c r="AA12" s="8"/>
      <c r="AB12" s="8" t="s">
        <v>436</v>
      </c>
      <c r="AC12" s="8"/>
      <c r="AD12" s="9"/>
      <c r="AE12" s="16" t="s">
        <v>44</v>
      </c>
      <c r="AF12" s="8" t="s">
        <v>429</v>
      </c>
      <c r="AG12" s="8"/>
      <c r="AH12" s="8"/>
      <c r="AI12" s="8" t="s">
        <v>398</v>
      </c>
      <c r="AJ12" s="8" t="s">
        <v>430</v>
      </c>
      <c r="AK12" s="8"/>
      <c r="AL12" s="8" t="s">
        <v>436</v>
      </c>
      <c r="AM12" s="8"/>
      <c r="AN12" s="9"/>
      <c r="AO12" s="16" t="s">
        <v>44</v>
      </c>
      <c r="AP12" s="8" t="s">
        <v>431</v>
      </c>
      <c r="AQ12" s="8"/>
      <c r="AR12" s="8" t="s">
        <v>432</v>
      </c>
      <c r="AS12" s="8"/>
      <c r="AT12" s="8"/>
      <c r="AU12" s="8"/>
      <c r="AV12" s="8" t="s">
        <v>437</v>
      </c>
      <c r="AW12" s="8"/>
      <c r="AX12" s="9"/>
      <c r="AY12" s="8"/>
    </row>
    <row r="13">
      <c r="A13" s="16" t="s">
        <v>47</v>
      </c>
      <c r="B13" s="8" t="s">
        <v>425</v>
      </c>
      <c r="C13" s="8" t="s">
        <v>394</v>
      </c>
      <c r="D13" s="8"/>
      <c r="E13" s="8"/>
      <c r="F13" s="8"/>
      <c r="G13" s="8"/>
      <c r="H13" s="8" t="s">
        <v>416</v>
      </c>
      <c r="I13" s="8"/>
      <c r="J13" s="9"/>
      <c r="K13" s="16" t="s">
        <v>47</v>
      </c>
      <c r="L13" s="8" t="s">
        <v>434</v>
      </c>
      <c r="M13" s="8" t="s">
        <v>394</v>
      </c>
      <c r="N13" s="8"/>
      <c r="O13" s="8"/>
      <c r="P13" s="8"/>
      <c r="Q13" s="8"/>
      <c r="R13" s="8" t="s">
        <v>416</v>
      </c>
      <c r="S13" s="8"/>
      <c r="T13" s="9"/>
      <c r="U13" s="16" t="s">
        <v>47</v>
      </c>
      <c r="V13" s="8" t="s">
        <v>435</v>
      </c>
      <c r="W13" s="8" t="s">
        <v>398</v>
      </c>
      <c r="X13" s="8"/>
      <c r="Y13" s="8"/>
      <c r="Z13" s="8"/>
      <c r="AA13" s="8"/>
      <c r="AB13" s="8" t="s">
        <v>436</v>
      </c>
      <c r="AC13" s="8" t="s">
        <v>400</v>
      </c>
      <c r="AD13" s="9"/>
      <c r="AE13" s="16" t="s">
        <v>47</v>
      </c>
      <c r="AF13" s="8" t="s">
        <v>430</v>
      </c>
      <c r="AG13" s="8" t="s">
        <v>398</v>
      </c>
      <c r="AH13" s="8"/>
      <c r="AI13" s="8"/>
      <c r="AJ13" s="8"/>
      <c r="AK13" s="8"/>
      <c r="AL13" s="8" t="s">
        <v>436</v>
      </c>
      <c r="AM13" s="8"/>
      <c r="AN13" s="9"/>
      <c r="AO13" s="16" t="s">
        <v>47</v>
      </c>
      <c r="AP13" s="8" t="s">
        <v>432</v>
      </c>
      <c r="AQ13" s="8"/>
      <c r="AR13" s="8"/>
      <c r="AS13" s="8"/>
      <c r="AT13" s="8" t="s">
        <v>390</v>
      </c>
      <c r="AU13" s="8"/>
      <c r="AV13" s="8" t="s">
        <v>437</v>
      </c>
      <c r="AW13" s="8"/>
      <c r="AX13" s="9"/>
      <c r="AY13" s="8"/>
    </row>
    <row r="14">
      <c r="A14" s="23" t="s">
        <v>54</v>
      </c>
      <c r="B14" s="24" t="s">
        <v>424</v>
      </c>
      <c r="C14" s="24"/>
      <c r="D14" s="24" t="s">
        <v>425</v>
      </c>
      <c r="E14" s="24"/>
      <c r="F14" s="24"/>
      <c r="G14" s="24"/>
      <c r="H14" s="24" t="s">
        <v>394</v>
      </c>
      <c r="I14" s="24"/>
      <c r="J14" s="25"/>
      <c r="K14" s="23" t="s">
        <v>54</v>
      </c>
      <c r="L14" s="24" t="s">
        <v>426</v>
      </c>
      <c r="M14" s="24"/>
      <c r="N14" s="24"/>
      <c r="O14" s="24"/>
      <c r="P14" s="24" t="s">
        <v>427</v>
      </c>
      <c r="Q14" s="24"/>
      <c r="R14" s="24" t="s">
        <v>394</v>
      </c>
      <c r="S14" s="24"/>
      <c r="T14" s="25"/>
      <c r="U14" s="23" t="s">
        <v>54</v>
      </c>
      <c r="V14" s="24" t="s">
        <v>428</v>
      </c>
      <c r="W14" s="24"/>
      <c r="X14" s="24"/>
      <c r="Y14" s="24" t="s">
        <v>445</v>
      </c>
      <c r="Z14" s="24"/>
      <c r="AA14" s="24"/>
      <c r="AB14" s="24" t="s">
        <v>398</v>
      </c>
      <c r="AC14" s="24"/>
      <c r="AD14" s="25"/>
      <c r="AE14" s="23" t="s">
        <v>54</v>
      </c>
      <c r="AF14" s="24" t="s">
        <v>429</v>
      </c>
      <c r="AG14" s="24"/>
      <c r="AH14" s="24" t="s">
        <v>430</v>
      </c>
      <c r="AI14" s="24"/>
      <c r="AJ14" s="24"/>
      <c r="AK14" s="24"/>
      <c r="AL14" s="24" t="s">
        <v>398</v>
      </c>
      <c r="AM14" s="8" t="s">
        <v>400</v>
      </c>
      <c r="AN14" s="25"/>
      <c r="AO14" s="23" t="s">
        <v>54</v>
      </c>
      <c r="AP14" s="24" t="s">
        <v>431</v>
      </c>
      <c r="AQ14" s="24"/>
      <c r="AR14" s="24"/>
      <c r="AS14" s="24"/>
      <c r="AT14" s="24"/>
      <c r="AU14" s="24" t="s">
        <v>390</v>
      </c>
      <c r="AV14" s="24"/>
      <c r="AW14" s="8" t="s">
        <v>400</v>
      </c>
      <c r="AX14" s="25"/>
      <c r="AY14" s="24"/>
    </row>
    <row r="15">
      <c r="A15" s="14" t="s">
        <v>181</v>
      </c>
      <c r="B15" s="8"/>
      <c r="C15" s="8"/>
      <c r="D15" s="8"/>
      <c r="E15" s="8"/>
      <c r="F15" s="8"/>
      <c r="G15" s="8"/>
      <c r="H15" s="8"/>
      <c r="I15" s="8"/>
      <c r="J15" s="9"/>
      <c r="K15" s="14" t="s">
        <v>184</v>
      </c>
      <c r="L15" s="8"/>
      <c r="M15" s="8"/>
      <c r="N15" s="8"/>
      <c r="O15" s="8"/>
      <c r="P15" s="8"/>
      <c r="Q15" s="8"/>
      <c r="R15" s="8"/>
      <c r="S15" s="8"/>
      <c r="T15" s="9"/>
      <c r="U15" s="14" t="s">
        <v>185</v>
      </c>
      <c r="V15" s="8"/>
      <c r="W15" s="8"/>
      <c r="X15" s="8"/>
      <c r="Y15" s="8"/>
      <c r="Z15" s="8"/>
      <c r="AA15" s="8"/>
      <c r="AB15" s="8"/>
      <c r="AC15" s="8"/>
      <c r="AD15" s="9"/>
      <c r="AE15" s="14" t="s">
        <v>188</v>
      </c>
      <c r="AF15" s="8"/>
      <c r="AG15" s="8"/>
      <c r="AH15" s="8"/>
      <c r="AI15" s="8"/>
      <c r="AJ15" s="8"/>
      <c r="AK15" s="8"/>
      <c r="AL15" s="8"/>
      <c r="AM15" s="8"/>
      <c r="AN15" s="9"/>
      <c r="AO15" s="14" t="s">
        <v>192</v>
      </c>
      <c r="AP15" s="8"/>
      <c r="AQ15" s="8"/>
      <c r="AR15" s="8"/>
      <c r="AS15" s="8"/>
      <c r="AT15" s="8"/>
      <c r="AU15" s="8"/>
      <c r="AV15" s="8"/>
      <c r="AW15" s="8"/>
      <c r="AX15" s="9"/>
      <c r="AY15" s="8"/>
    </row>
    <row r="16">
      <c r="A16" s="14" t="s">
        <v>28</v>
      </c>
      <c r="B16" s="16" t="s">
        <v>14</v>
      </c>
      <c r="C16" s="16" t="s">
        <v>18</v>
      </c>
      <c r="D16" s="16" t="s">
        <v>19</v>
      </c>
      <c r="E16" s="16" t="s">
        <v>20</v>
      </c>
      <c r="F16" s="16" t="s">
        <v>21</v>
      </c>
      <c r="G16" s="16" t="s">
        <v>22</v>
      </c>
      <c r="H16" s="16" t="s">
        <v>23</v>
      </c>
      <c r="I16" s="16" t="s">
        <v>24</v>
      </c>
      <c r="J16" s="20"/>
      <c r="K16" s="14" t="s">
        <v>28</v>
      </c>
      <c r="L16" s="16" t="s">
        <v>14</v>
      </c>
      <c r="M16" s="16" t="s">
        <v>18</v>
      </c>
      <c r="N16" s="16" t="s">
        <v>19</v>
      </c>
      <c r="O16" s="16" t="s">
        <v>20</v>
      </c>
      <c r="P16" s="16" t="s">
        <v>21</v>
      </c>
      <c r="Q16" s="16" t="s">
        <v>22</v>
      </c>
      <c r="R16" s="16" t="s">
        <v>23</v>
      </c>
      <c r="S16" s="16" t="s">
        <v>24</v>
      </c>
      <c r="T16" s="20"/>
      <c r="U16" s="14" t="s">
        <v>28</v>
      </c>
      <c r="V16" s="16" t="s">
        <v>14</v>
      </c>
      <c r="W16" s="16" t="s">
        <v>18</v>
      </c>
      <c r="X16" s="16" t="s">
        <v>19</v>
      </c>
      <c r="Y16" s="16" t="s">
        <v>20</v>
      </c>
      <c r="Z16" s="16" t="s">
        <v>21</v>
      </c>
      <c r="AA16" s="16" t="s">
        <v>22</v>
      </c>
      <c r="AB16" s="16" t="s">
        <v>23</v>
      </c>
      <c r="AC16" s="16" t="s">
        <v>24</v>
      </c>
      <c r="AD16" s="20"/>
      <c r="AE16" s="14" t="s">
        <v>28</v>
      </c>
      <c r="AF16" s="16" t="s">
        <v>14</v>
      </c>
      <c r="AG16" s="16" t="s">
        <v>18</v>
      </c>
      <c r="AH16" s="16" t="s">
        <v>19</v>
      </c>
      <c r="AI16" s="16" t="s">
        <v>20</v>
      </c>
      <c r="AJ16" s="16" t="s">
        <v>21</v>
      </c>
      <c r="AK16" s="16" t="s">
        <v>22</v>
      </c>
      <c r="AL16" s="16" t="s">
        <v>23</v>
      </c>
      <c r="AM16" s="16" t="s">
        <v>24</v>
      </c>
      <c r="AN16" s="20"/>
      <c r="AO16" s="14" t="s">
        <v>28</v>
      </c>
      <c r="AP16" s="16" t="s">
        <v>14</v>
      </c>
      <c r="AQ16" s="16" t="s">
        <v>18</v>
      </c>
      <c r="AR16" s="16" t="s">
        <v>19</v>
      </c>
      <c r="AS16" s="16" t="s">
        <v>20</v>
      </c>
      <c r="AT16" s="16" t="s">
        <v>21</v>
      </c>
      <c r="AU16" s="16" t="s">
        <v>22</v>
      </c>
      <c r="AV16" s="16" t="s">
        <v>23</v>
      </c>
      <c r="AW16" s="16" t="s">
        <v>24</v>
      </c>
      <c r="AX16" s="20"/>
      <c r="AY16" s="8"/>
    </row>
    <row r="17">
      <c r="A17" s="16" t="s">
        <v>33</v>
      </c>
      <c r="B17" s="8" t="s">
        <v>456</v>
      </c>
      <c r="C17" s="8" t="s">
        <v>390</v>
      </c>
      <c r="D17" s="8"/>
      <c r="E17" s="8"/>
      <c r="F17" s="8"/>
      <c r="G17" s="8" t="s">
        <v>457</v>
      </c>
      <c r="H17" s="8"/>
      <c r="I17" s="8"/>
      <c r="J17" s="9"/>
      <c r="K17" s="16" t="s">
        <v>33</v>
      </c>
      <c r="L17" s="8" t="s">
        <v>458</v>
      </c>
      <c r="M17" s="8" t="s">
        <v>390</v>
      </c>
      <c r="N17" s="8"/>
      <c r="O17" s="8"/>
      <c r="P17" s="8"/>
      <c r="Q17" s="8" t="s">
        <v>457</v>
      </c>
      <c r="R17" s="8"/>
      <c r="S17" s="8"/>
      <c r="T17" s="9"/>
      <c r="U17" s="16" t="s">
        <v>33</v>
      </c>
      <c r="V17" s="8" t="s">
        <v>459</v>
      </c>
      <c r="W17" s="8" t="s">
        <v>460</v>
      </c>
      <c r="X17" s="8"/>
      <c r="Y17" s="8"/>
      <c r="Z17" s="8"/>
      <c r="AA17" s="8"/>
      <c r="AB17" s="8"/>
      <c r="AC17" s="8"/>
      <c r="AD17" s="9"/>
      <c r="AE17" s="16" t="s">
        <v>33</v>
      </c>
      <c r="AF17" s="8" t="s">
        <v>461</v>
      </c>
      <c r="AG17" s="8" t="s">
        <v>460</v>
      </c>
      <c r="AH17" s="8"/>
      <c r="AI17" s="8"/>
      <c r="AJ17" s="8"/>
      <c r="AK17" s="8"/>
      <c r="AL17" s="8"/>
      <c r="AM17" s="8"/>
      <c r="AN17" s="9"/>
      <c r="AO17" s="16" t="s">
        <v>33</v>
      </c>
      <c r="AP17" s="8" t="s">
        <v>462</v>
      </c>
      <c r="AQ17" s="8" t="s">
        <v>394</v>
      </c>
      <c r="AR17" s="8"/>
      <c r="AS17" s="8"/>
      <c r="AT17" s="8"/>
      <c r="AU17" s="8"/>
      <c r="AV17" s="8" t="s">
        <v>457</v>
      </c>
      <c r="AW17" s="8"/>
      <c r="AX17" s="9"/>
      <c r="AY17" s="8"/>
    </row>
    <row r="18">
      <c r="A18" s="16" t="s">
        <v>38</v>
      </c>
      <c r="B18" s="8" t="s">
        <v>463</v>
      </c>
      <c r="C18" s="8"/>
      <c r="D18" s="8" t="s">
        <v>456</v>
      </c>
      <c r="E18" s="8"/>
      <c r="F18" s="8"/>
      <c r="G18" s="8" t="s">
        <v>390</v>
      </c>
      <c r="H18" s="8"/>
      <c r="I18" s="8"/>
      <c r="J18" s="9"/>
      <c r="K18" s="16" t="s">
        <v>38</v>
      </c>
      <c r="L18" s="8" t="s">
        <v>464</v>
      </c>
      <c r="M18" s="8"/>
      <c r="N18" s="8"/>
      <c r="O18" s="8"/>
      <c r="P18" s="8"/>
      <c r="Q18" s="8" t="s">
        <v>390</v>
      </c>
      <c r="R18" s="8"/>
      <c r="S18" s="8"/>
      <c r="T18" s="9"/>
      <c r="U18" s="16" t="s">
        <v>38</v>
      </c>
      <c r="V18" s="8" t="s">
        <v>465</v>
      </c>
      <c r="W18" s="8"/>
      <c r="X18" s="8"/>
      <c r="Y18" s="8"/>
      <c r="Z18" s="8"/>
      <c r="AA18" s="8" t="s">
        <v>460</v>
      </c>
      <c r="AB18" s="8"/>
      <c r="AC18" s="8"/>
      <c r="AD18" s="9"/>
      <c r="AE18" s="16" t="s">
        <v>38</v>
      </c>
      <c r="AF18" s="8" t="s">
        <v>466</v>
      </c>
      <c r="AG18" s="8"/>
      <c r="AH18" s="8"/>
      <c r="AI18" s="8"/>
      <c r="AJ18" s="8"/>
      <c r="AK18" s="8" t="s">
        <v>460</v>
      </c>
      <c r="AL18" s="8"/>
      <c r="AM18" s="8"/>
      <c r="AN18" s="9"/>
      <c r="AO18" s="16" t="s">
        <v>38</v>
      </c>
      <c r="AP18" s="8" t="s">
        <v>467</v>
      </c>
      <c r="AQ18" s="8"/>
      <c r="AR18" s="8"/>
      <c r="AS18" s="8"/>
      <c r="AT18" s="8"/>
      <c r="AU18" s="8"/>
      <c r="AV18" s="8" t="s">
        <v>394</v>
      </c>
      <c r="AW18" s="8"/>
      <c r="AX18" s="9"/>
      <c r="AY18" s="8"/>
    </row>
    <row r="19">
      <c r="A19" s="16" t="s">
        <v>44</v>
      </c>
      <c r="B19" s="8" t="s">
        <v>456</v>
      </c>
      <c r="C19" s="8" t="s">
        <v>390</v>
      </c>
      <c r="D19" s="8"/>
      <c r="E19" s="8"/>
      <c r="F19" s="8"/>
      <c r="G19" s="8"/>
      <c r="H19" s="8"/>
      <c r="I19" s="8"/>
      <c r="J19" s="9"/>
      <c r="K19" s="16" t="s">
        <v>44</v>
      </c>
      <c r="L19" s="8" t="s">
        <v>458</v>
      </c>
      <c r="M19" s="8" t="s">
        <v>390</v>
      </c>
      <c r="N19" s="8"/>
      <c r="O19" s="8"/>
      <c r="P19" s="8"/>
      <c r="Q19" s="8"/>
      <c r="R19" s="8"/>
      <c r="S19" s="8"/>
      <c r="T19" s="9"/>
      <c r="U19" s="16" t="s">
        <v>44</v>
      </c>
      <c r="V19" s="8" t="s">
        <v>459</v>
      </c>
      <c r="W19" s="8" t="s">
        <v>460</v>
      </c>
      <c r="X19" s="8"/>
      <c r="Y19" s="8"/>
      <c r="Z19" s="8"/>
      <c r="AA19" s="8" t="s">
        <v>457</v>
      </c>
      <c r="AB19" s="8"/>
      <c r="AC19" s="8"/>
      <c r="AD19" s="9"/>
      <c r="AE19" s="16" t="s">
        <v>44</v>
      </c>
      <c r="AF19" s="8" t="s">
        <v>461</v>
      </c>
      <c r="AG19" s="8" t="s">
        <v>460</v>
      </c>
      <c r="AH19" s="8"/>
      <c r="AI19" s="8"/>
      <c r="AJ19" s="8"/>
      <c r="AK19" s="8" t="s">
        <v>457</v>
      </c>
      <c r="AL19" s="8"/>
      <c r="AM19" s="8"/>
      <c r="AN19" s="9"/>
      <c r="AO19" s="16" t="s">
        <v>44</v>
      </c>
      <c r="AP19" s="8" t="s">
        <v>462</v>
      </c>
      <c r="AQ19" s="8"/>
      <c r="AR19" s="8"/>
      <c r="AS19" s="8"/>
      <c r="AT19" s="8"/>
      <c r="AU19" s="8"/>
      <c r="AV19" s="8"/>
      <c r="AW19" s="8" t="s">
        <v>436</v>
      </c>
      <c r="AX19" s="9"/>
      <c r="AY19" s="8"/>
    </row>
    <row r="20">
      <c r="A20" s="16" t="s">
        <v>47</v>
      </c>
      <c r="B20" s="8" t="s">
        <v>463</v>
      </c>
      <c r="C20" s="8"/>
      <c r="D20" s="8"/>
      <c r="E20" s="8"/>
      <c r="F20" s="8"/>
      <c r="G20" s="8" t="s">
        <v>469</v>
      </c>
      <c r="H20" s="8"/>
      <c r="I20" s="8"/>
      <c r="J20" s="9"/>
      <c r="K20" s="16" t="s">
        <v>47</v>
      </c>
      <c r="L20" s="8" t="s">
        <v>464</v>
      </c>
      <c r="M20" s="8"/>
      <c r="N20" s="8"/>
      <c r="O20" s="8"/>
      <c r="P20" s="8"/>
      <c r="Q20" s="8" t="s">
        <v>469</v>
      </c>
      <c r="R20" s="8" t="s">
        <v>470</v>
      </c>
      <c r="S20" s="8"/>
      <c r="T20" s="9"/>
      <c r="U20" s="16" t="s">
        <v>47</v>
      </c>
      <c r="V20" s="8" t="s">
        <v>465</v>
      </c>
      <c r="W20" s="8"/>
      <c r="X20" s="8"/>
      <c r="Y20" s="8"/>
      <c r="Z20" s="8"/>
      <c r="AA20" s="8" t="s">
        <v>391</v>
      </c>
      <c r="AB20" s="8"/>
      <c r="AC20" s="8"/>
      <c r="AD20" s="9"/>
      <c r="AE20" s="16" t="s">
        <v>47</v>
      </c>
      <c r="AF20" s="8" t="s">
        <v>466</v>
      </c>
      <c r="AG20" s="8"/>
      <c r="AH20" s="8"/>
      <c r="AI20" s="8"/>
      <c r="AJ20" s="8"/>
      <c r="AK20" s="8" t="s">
        <v>391</v>
      </c>
      <c r="AL20" s="8"/>
      <c r="AM20" s="8"/>
      <c r="AN20" s="9"/>
      <c r="AO20" s="16" t="s">
        <v>47</v>
      </c>
      <c r="AP20" s="8" t="s">
        <v>467</v>
      </c>
      <c r="AQ20" s="8"/>
      <c r="AR20" s="8"/>
      <c r="AS20" s="8" t="s">
        <v>394</v>
      </c>
      <c r="AT20" s="8"/>
      <c r="AU20" s="8"/>
      <c r="AV20" s="8"/>
      <c r="AW20" s="8"/>
      <c r="AX20" s="9"/>
      <c r="AY20" s="8"/>
    </row>
    <row r="21" ht="15.75" customHeight="1">
      <c r="A21" s="23" t="s">
        <v>54</v>
      </c>
      <c r="B21" s="24" t="s">
        <v>456</v>
      </c>
      <c r="C21" s="24"/>
      <c r="D21" s="24"/>
      <c r="E21" s="24"/>
      <c r="F21" s="24"/>
      <c r="G21" s="24"/>
      <c r="H21" s="24"/>
      <c r="I21" s="24" t="s">
        <v>390</v>
      </c>
      <c r="J21" s="25"/>
      <c r="K21" s="23" t="s">
        <v>54</v>
      </c>
      <c r="L21" s="24" t="s">
        <v>458</v>
      </c>
      <c r="M21" s="24"/>
      <c r="N21" s="24"/>
      <c r="O21" s="24"/>
      <c r="P21" s="24"/>
      <c r="Q21" s="24"/>
      <c r="R21" s="24"/>
      <c r="S21" s="24" t="s">
        <v>390</v>
      </c>
      <c r="T21" s="25"/>
      <c r="U21" s="23" t="s">
        <v>54</v>
      </c>
      <c r="V21" s="24" t="s">
        <v>459</v>
      </c>
      <c r="W21" s="24"/>
      <c r="X21" s="24"/>
      <c r="Y21" s="24"/>
      <c r="Z21" s="24"/>
      <c r="AA21" s="24"/>
      <c r="AB21" s="24"/>
      <c r="AC21" s="24" t="s">
        <v>460</v>
      </c>
      <c r="AD21" s="25"/>
      <c r="AE21" s="23" t="s">
        <v>54</v>
      </c>
      <c r="AF21" s="24" t="s">
        <v>461</v>
      </c>
      <c r="AG21" s="24"/>
      <c r="AH21" s="24"/>
      <c r="AI21" s="24"/>
      <c r="AJ21" s="24"/>
      <c r="AK21" s="24"/>
      <c r="AL21" s="24"/>
      <c r="AM21" s="24" t="s">
        <v>460</v>
      </c>
      <c r="AN21" s="25"/>
      <c r="AO21" s="23" t="s">
        <v>54</v>
      </c>
      <c r="AP21" s="24" t="s">
        <v>462</v>
      </c>
      <c r="AQ21" s="24"/>
      <c r="AR21" s="24"/>
      <c r="AS21" s="24"/>
      <c r="AT21" s="24"/>
      <c r="AU21" s="24"/>
      <c r="AV21" s="24"/>
      <c r="AW21" s="24" t="s">
        <v>394</v>
      </c>
      <c r="AX21" s="25"/>
      <c r="AY21" s="24"/>
    </row>
    <row r="22" ht="15.75" customHeight="1">
      <c r="A22" s="14" t="s">
        <v>194</v>
      </c>
      <c r="B22" s="8"/>
      <c r="C22" s="8"/>
      <c r="D22" s="8"/>
      <c r="E22" s="8"/>
      <c r="F22" s="8"/>
      <c r="G22" s="8"/>
      <c r="H22" s="8"/>
      <c r="I22" s="8"/>
      <c r="J22" s="9"/>
      <c r="K22" s="14" t="s">
        <v>199</v>
      </c>
      <c r="L22" s="8"/>
      <c r="M22" s="8"/>
      <c r="N22" s="8"/>
      <c r="O22" s="8"/>
      <c r="P22" s="8"/>
      <c r="Q22" s="8"/>
      <c r="R22" s="8"/>
      <c r="S22" s="8"/>
      <c r="T22" s="9"/>
      <c r="U22" s="14" t="s">
        <v>203</v>
      </c>
      <c r="V22" s="8"/>
      <c r="W22" s="8"/>
      <c r="X22" s="8"/>
      <c r="Y22" s="8"/>
      <c r="Z22" s="8"/>
      <c r="AA22" s="8"/>
      <c r="AB22" s="8"/>
      <c r="AC22" s="8"/>
      <c r="AD22" s="9"/>
      <c r="AE22" s="14" t="s">
        <v>209</v>
      </c>
      <c r="AF22" s="8"/>
      <c r="AG22" s="8"/>
      <c r="AH22" s="8"/>
      <c r="AI22" s="8"/>
      <c r="AJ22" s="8"/>
      <c r="AK22" s="8"/>
      <c r="AL22" s="8"/>
      <c r="AM22" s="8"/>
      <c r="AN22" s="9"/>
      <c r="AO22" s="14" t="s">
        <v>212</v>
      </c>
      <c r="AP22" s="8"/>
      <c r="AQ22" s="8"/>
      <c r="AR22" s="8"/>
      <c r="AS22" s="8"/>
      <c r="AT22" s="8"/>
      <c r="AU22" s="8"/>
      <c r="AV22" s="8"/>
      <c r="AW22" s="8"/>
      <c r="AX22" s="9"/>
      <c r="AY22" s="8"/>
    </row>
    <row r="23" ht="15.75" customHeight="1">
      <c r="A23" s="14" t="s">
        <v>28</v>
      </c>
      <c r="B23" s="16" t="s">
        <v>14</v>
      </c>
      <c r="C23" s="16" t="s">
        <v>18</v>
      </c>
      <c r="D23" s="16" t="s">
        <v>19</v>
      </c>
      <c r="E23" s="16" t="s">
        <v>20</v>
      </c>
      <c r="F23" s="16" t="s">
        <v>21</v>
      </c>
      <c r="G23" s="16" t="s">
        <v>22</v>
      </c>
      <c r="H23" s="16" t="s">
        <v>23</v>
      </c>
      <c r="I23" s="16" t="s">
        <v>24</v>
      </c>
      <c r="J23" s="20"/>
      <c r="K23" s="14" t="s">
        <v>28</v>
      </c>
      <c r="L23" s="16" t="s">
        <v>14</v>
      </c>
      <c r="M23" s="16" t="s">
        <v>18</v>
      </c>
      <c r="N23" s="16" t="s">
        <v>19</v>
      </c>
      <c r="O23" s="16" t="s">
        <v>20</v>
      </c>
      <c r="P23" s="16" t="s">
        <v>21</v>
      </c>
      <c r="Q23" s="16" t="s">
        <v>22</v>
      </c>
      <c r="R23" s="16" t="s">
        <v>23</v>
      </c>
      <c r="S23" s="16" t="s">
        <v>24</v>
      </c>
      <c r="T23" s="20"/>
      <c r="U23" s="14" t="s">
        <v>28</v>
      </c>
      <c r="V23" s="16" t="s">
        <v>14</v>
      </c>
      <c r="W23" s="16" t="s">
        <v>18</v>
      </c>
      <c r="X23" s="16" t="s">
        <v>19</v>
      </c>
      <c r="Y23" s="16" t="s">
        <v>20</v>
      </c>
      <c r="Z23" s="16" t="s">
        <v>21</v>
      </c>
      <c r="AA23" s="16" t="s">
        <v>22</v>
      </c>
      <c r="AB23" s="16" t="s">
        <v>23</v>
      </c>
      <c r="AC23" s="16" t="s">
        <v>24</v>
      </c>
      <c r="AD23" s="20"/>
      <c r="AE23" s="14" t="s">
        <v>28</v>
      </c>
      <c r="AF23" s="16" t="s">
        <v>14</v>
      </c>
      <c r="AG23" s="16" t="s">
        <v>18</v>
      </c>
      <c r="AH23" s="16" t="s">
        <v>19</v>
      </c>
      <c r="AI23" s="16" t="s">
        <v>20</v>
      </c>
      <c r="AJ23" s="16" t="s">
        <v>21</v>
      </c>
      <c r="AK23" s="16" t="s">
        <v>22</v>
      </c>
      <c r="AL23" s="16" t="s">
        <v>23</v>
      </c>
      <c r="AM23" s="16" t="s">
        <v>24</v>
      </c>
      <c r="AN23" s="20"/>
      <c r="AO23" s="14" t="s">
        <v>28</v>
      </c>
      <c r="AP23" s="16" t="s">
        <v>14</v>
      </c>
      <c r="AQ23" s="16" t="s">
        <v>18</v>
      </c>
      <c r="AR23" s="16" t="s">
        <v>19</v>
      </c>
      <c r="AS23" s="16" t="s">
        <v>20</v>
      </c>
      <c r="AT23" s="16" t="s">
        <v>21</v>
      </c>
      <c r="AU23" s="16" t="s">
        <v>22</v>
      </c>
      <c r="AV23" s="16" t="s">
        <v>23</v>
      </c>
      <c r="AW23" s="16" t="s">
        <v>24</v>
      </c>
      <c r="AX23" s="20"/>
      <c r="AY23" s="8"/>
    </row>
    <row r="24" ht="15.75" customHeight="1">
      <c r="A24" s="16" t="s">
        <v>33</v>
      </c>
      <c r="B24" s="8" t="s">
        <v>476</v>
      </c>
      <c r="C24" s="8"/>
      <c r="D24" s="8"/>
      <c r="E24" s="8"/>
      <c r="F24" s="8"/>
      <c r="G24" s="8" t="s">
        <v>477</v>
      </c>
      <c r="H24" s="8"/>
      <c r="I24" s="8"/>
      <c r="J24" s="9"/>
      <c r="K24" s="16" t="s">
        <v>33</v>
      </c>
      <c r="L24" s="8" t="s">
        <v>478</v>
      </c>
      <c r="M24" s="8"/>
      <c r="N24" s="8"/>
      <c r="O24" s="8"/>
      <c r="P24" s="8"/>
      <c r="Q24" s="8" t="s">
        <v>477</v>
      </c>
      <c r="R24" s="8"/>
      <c r="S24" s="8"/>
      <c r="T24" s="9"/>
      <c r="U24" s="16" t="s">
        <v>33</v>
      </c>
      <c r="V24" s="8" t="s">
        <v>480</v>
      </c>
      <c r="W24" s="8"/>
      <c r="X24" s="8"/>
      <c r="Y24" s="8"/>
      <c r="Z24" s="8"/>
      <c r="AA24" s="8" t="s">
        <v>481</v>
      </c>
      <c r="AB24" s="8"/>
      <c r="AC24" s="8"/>
      <c r="AD24" s="9"/>
      <c r="AE24" s="16" t="s">
        <v>33</v>
      </c>
      <c r="AF24" s="8" t="s">
        <v>482</v>
      </c>
      <c r="AG24" s="8"/>
      <c r="AH24" s="8"/>
      <c r="AI24" s="8"/>
      <c r="AJ24" s="8"/>
      <c r="AK24" s="8" t="s">
        <v>481</v>
      </c>
      <c r="AL24" s="8"/>
      <c r="AM24" s="8"/>
      <c r="AN24" s="9"/>
      <c r="AO24" s="16" t="s">
        <v>33</v>
      </c>
      <c r="AP24" s="8" t="s">
        <v>483</v>
      </c>
      <c r="AQ24" s="8"/>
      <c r="AR24" s="8"/>
      <c r="AS24" s="8"/>
      <c r="AT24" s="8"/>
      <c r="AU24" s="8" t="s">
        <v>484</v>
      </c>
      <c r="AV24" s="8"/>
      <c r="AW24" s="8"/>
      <c r="AX24" s="9"/>
      <c r="AY24" s="8"/>
    </row>
    <row r="25" ht="15.75" customHeight="1">
      <c r="A25" s="16" t="s">
        <v>38</v>
      </c>
      <c r="B25" s="8" t="s">
        <v>485</v>
      </c>
      <c r="C25" s="8" t="s">
        <v>477</v>
      </c>
      <c r="D25" s="8"/>
      <c r="E25" s="8" t="s">
        <v>486</v>
      </c>
      <c r="F25" s="8"/>
      <c r="G25" s="8" t="s">
        <v>457</v>
      </c>
      <c r="H25" s="8"/>
      <c r="I25" s="8"/>
      <c r="J25" s="9"/>
      <c r="K25" s="16" t="s">
        <v>38</v>
      </c>
      <c r="L25" s="8" t="s">
        <v>487</v>
      </c>
      <c r="M25" s="8" t="s">
        <v>477</v>
      </c>
      <c r="N25" s="8"/>
      <c r="O25" s="8" t="s">
        <v>486</v>
      </c>
      <c r="P25" s="8" t="s">
        <v>478</v>
      </c>
      <c r="Q25" s="8" t="s">
        <v>457</v>
      </c>
      <c r="R25" s="8"/>
      <c r="S25" s="8"/>
      <c r="T25" s="9"/>
      <c r="U25" s="16" t="s">
        <v>38</v>
      </c>
      <c r="V25" s="8" t="s">
        <v>488</v>
      </c>
      <c r="W25" s="8" t="s">
        <v>481</v>
      </c>
      <c r="X25" s="8"/>
      <c r="Y25" s="8" t="s">
        <v>489</v>
      </c>
      <c r="Z25" s="8" t="s">
        <v>480</v>
      </c>
      <c r="AA25" s="8"/>
      <c r="AB25" s="8"/>
      <c r="AC25" s="8"/>
      <c r="AD25" s="9"/>
      <c r="AE25" s="16" t="s">
        <v>38</v>
      </c>
      <c r="AF25" s="8" t="s">
        <v>490</v>
      </c>
      <c r="AG25" s="8" t="s">
        <v>481</v>
      </c>
      <c r="AH25" s="8" t="s">
        <v>482</v>
      </c>
      <c r="AI25" s="8" t="s">
        <v>489</v>
      </c>
      <c r="AJ25" s="8"/>
      <c r="AK25" s="8"/>
      <c r="AL25" s="8"/>
      <c r="AM25" s="8"/>
      <c r="AN25" s="9"/>
      <c r="AO25" s="16" t="s">
        <v>38</v>
      </c>
      <c r="AP25" s="8" t="s">
        <v>491</v>
      </c>
      <c r="AQ25" s="8" t="s">
        <v>484</v>
      </c>
      <c r="AR25" s="8" t="s">
        <v>483</v>
      </c>
      <c r="AS25" s="8" t="s">
        <v>492</v>
      </c>
      <c r="AT25" s="8"/>
      <c r="AU25" s="8"/>
      <c r="AV25" s="8"/>
      <c r="AW25" s="8"/>
      <c r="AX25" s="9"/>
      <c r="AY25" s="8"/>
    </row>
    <row r="26" ht="15.75" customHeight="1">
      <c r="A26" s="16" t="s">
        <v>44</v>
      </c>
      <c r="B26" s="8" t="s">
        <v>476</v>
      </c>
      <c r="C26" s="8"/>
      <c r="D26" s="8"/>
      <c r="E26" s="8"/>
      <c r="F26" s="8"/>
      <c r="G26" s="8" t="s">
        <v>493</v>
      </c>
      <c r="H26" s="8"/>
      <c r="I26" s="8"/>
      <c r="J26" s="9"/>
      <c r="K26" s="16" t="s">
        <v>44</v>
      </c>
      <c r="L26" s="8" t="s">
        <v>478</v>
      </c>
      <c r="M26" s="8"/>
      <c r="N26" s="8"/>
      <c r="O26" s="8"/>
      <c r="P26" s="8"/>
      <c r="Q26" s="8"/>
      <c r="R26" s="8"/>
      <c r="S26" s="8"/>
      <c r="T26" s="9"/>
      <c r="U26" s="16" t="s">
        <v>44</v>
      </c>
      <c r="V26" s="8" t="s">
        <v>480</v>
      </c>
      <c r="W26" s="8"/>
      <c r="X26" s="8"/>
      <c r="Y26" s="8"/>
      <c r="Z26" s="8"/>
      <c r="AA26" s="8"/>
      <c r="AB26" s="8"/>
      <c r="AC26" s="8"/>
      <c r="AD26" s="9"/>
      <c r="AE26" s="16" t="s">
        <v>44</v>
      </c>
      <c r="AF26" s="8" t="s">
        <v>482</v>
      </c>
      <c r="AG26" s="8"/>
      <c r="AH26" s="8"/>
      <c r="AI26" s="8"/>
      <c r="AJ26" s="8"/>
      <c r="AK26" s="8"/>
      <c r="AL26" s="8"/>
      <c r="AM26" s="8"/>
      <c r="AN26" s="9"/>
      <c r="AO26" s="16" t="s">
        <v>44</v>
      </c>
      <c r="AP26" s="8" t="s">
        <v>483</v>
      </c>
      <c r="AQ26" s="8"/>
      <c r="AR26" s="8"/>
      <c r="AS26" s="8"/>
      <c r="AT26" s="8"/>
      <c r="AU26" s="8"/>
      <c r="AV26" s="8"/>
      <c r="AW26" s="8" t="s">
        <v>457</v>
      </c>
      <c r="AX26" s="9"/>
      <c r="AY26" s="8"/>
    </row>
    <row r="27" ht="15.75" customHeight="1">
      <c r="A27" s="16" t="s">
        <v>47</v>
      </c>
      <c r="B27" s="8" t="s">
        <v>485</v>
      </c>
      <c r="C27" s="8"/>
      <c r="D27" s="8"/>
      <c r="E27" s="8" t="s">
        <v>486</v>
      </c>
      <c r="F27" s="8" t="s">
        <v>476</v>
      </c>
      <c r="G27" s="8" t="s">
        <v>494</v>
      </c>
      <c r="H27" s="8"/>
      <c r="I27" s="8" t="s">
        <v>477</v>
      </c>
      <c r="J27" s="9"/>
      <c r="K27" s="16" t="s">
        <v>47</v>
      </c>
      <c r="L27" s="8" t="s">
        <v>487</v>
      </c>
      <c r="M27" s="8"/>
      <c r="N27" s="8"/>
      <c r="O27" s="8" t="s">
        <v>486</v>
      </c>
      <c r="P27" s="8" t="s">
        <v>478</v>
      </c>
      <c r="Q27" s="8"/>
      <c r="R27" s="8"/>
      <c r="S27" s="8" t="s">
        <v>477</v>
      </c>
      <c r="T27" s="9"/>
      <c r="U27" s="16" t="s">
        <v>47</v>
      </c>
      <c r="V27" s="8" t="s">
        <v>488</v>
      </c>
      <c r="W27" s="8"/>
      <c r="X27" s="8"/>
      <c r="Y27" s="8" t="s">
        <v>489</v>
      </c>
      <c r="Z27" s="8" t="s">
        <v>480</v>
      </c>
      <c r="AA27" s="8"/>
      <c r="AB27" s="8"/>
      <c r="AC27" s="8"/>
      <c r="AD27" s="9"/>
      <c r="AE27" s="16" t="s">
        <v>47</v>
      </c>
      <c r="AF27" s="8" t="s">
        <v>490</v>
      </c>
      <c r="AG27" s="8"/>
      <c r="AH27" s="8"/>
      <c r="AI27" s="8" t="s">
        <v>489</v>
      </c>
      <c r="AJ27" s="8"/>
      <c r="AK27" s="8" t="s">
        <v>457</v>
      </c>
      <c r="AL27" s="8"/>
      <c r="AM27" s="8" t="s">
        <v>481</v>
      </c>
      <c r="AN27" s="9"/>
      <c r="AO27" s="16" t="s">
        <v>47</v>
      </c>
      <c r="AP27" s="8" t="s">
        <v>491</v>
      </c>
      <c r="AQ27" s="8"/>
      <c r="AR27" s="8" t="s">
        <v>483</v>
      </c>
      <c r="AS27" s="8" t="s">
        <v>492</v>
      </c>
      <c r="AT27" s="8"/>
      <c r="AU27" s="8"/>
      <c r="AV27" s="8"/>
      <c r="AW27" s="8" t="s">
        <v>484</v>
      </c>
      <c r="AX27" s="9"/>
      <c r="AY27" s="8"/>
    </row>
    <row r="28" ht="15.75" customHeight="1">
      <c r="A28" s="23" t="s">
        <v>54</v>
      </c>
      <c r="B28" s="24" t="s">
        <v>476</v>
      </c>
      <c r="C28" s="24"/>
      <c r="D28" s="24"/>
      <c r="E28" s="24"/>
      <c r="F28" s="24" t="s">
        <v>477</v>
      </c>
      <c r="G28" s="24"/>
      <c r="H28" s="24"/>
      <c r="I28" s="24" t="s">
        <v>486</v>
      </c>
      <c r="J28" s="25"/>
      <c r="K28" s="23" t="s">
        <v>54</v>
      </c>
      <c r="L28" s="24" t="s">
        <v>478</v>
      </c>
      <c r="M28" s="24"/>
      <c r="N28" s="24"/>
      <c r="O28" s="24"/>
      <c r="P28" s="24" t="s">
        <v>477</v>
      </c>
      <c r="Q28" s="24"/>
      <c r="R28" s="24"/>
      <c r="S28" s="24" t="s">
        <v>486</v>
      </c>
      <c r="T28" s="25"/>
      <c r="U28" s="23" t="s">
        <v>54</v>
      </c>
      <c r="V28" s="24" t="s">
        <v>480</v>
      </c>
      <c r="W28" s="24"/>
      <c r="X28" s="24"/>
      <c r="Y28" s="24" t="s">
        <v>496</v>
      </c>
      <c r="Z28" s="24" t="s">
        <v>481</v>
      </c>
      <c r="AA28" s="24"/>
      <c r="AB28" s="24"/>
      <c r="AC28" s="24" t="s">
        <v>489</v>
      </c>
      <c r="AD28" s="25"/>
      <c r="AE28" s="23" t="s">
        <v>54</v>
      </c>
      <c r="AF28" s="24" t="s">
        <v>482</v>
      </c>
      <c r="AG28" s="24"/>
      <c r="AH28" s="24"/>
      <c r="AI28" s="24"/>
      <c r="AJ28" s="24" t="s">
        <v>481</v>
      </c>
      <c r="AK28" s="24"/>
      <c r="AL28" s="24"/>
      <c r="AM28" s="24" t="s">
        <v>489</v>
      </c>
      <c r="AN28" s="25"/>
      <c r="AO28" s="23" t="s">
        <v>54</v>
      </c>
      <c r="AP28" s="24" t="s">
        <v>483</v>
      </c>
      <c r="AQ28" s="24"/>
      <c r="AR28" s="24"/>
      <c r="AS28" s="24"/>
      <c r="AT28" s="24" t="s">
        <v>484</v>
      </c>
      <c r="AU28" s="24"/>
      <c r="AV28" s="24"/>
      <c r="AW28" s="24" t="s">
        <v>492</v>
      </c>
      <c r="AX28" s="25"/>
      <c r="AY28" s="24"/>
    </row>
    <row r="29" ht="15.75" customHeight="1">
      <c r="A29" s="14" t="s">
        <v>214</v>
      </c>
      <c r="B29" s="8"/>
      <c r="C29" s="8"/>
      <c r="D29" s="8"/>
      <c r="E29" s="8"/>
      <c r="F29" s="8"/>
      <c r="G29" s="8"/>
      <c r="H29" s="8"/>
      <c r="I29" s="8"/>
      <c r="J29" s="9"/>
      <c r="K29" s="14" t="s">
        <v>217</v>
      </c>
      <c r="L29" s="8"/>
      <c r="M29" s="8"/>
      <c r="N29" s="8"/>
      <c r="O29" s="8"/>
      <c r="P29" s="8"/>
      <c r="Q29" s="8"/>
      <c r="R29" s="8"/>
      <c r="S29" s="8"/>
      <c r="T29" s="9"/>
      <c r="U29" s="14" t="s">
        <v>221</v>
      </c>
      <c r="V29" s="8"/>
      <c r="W29" s="8"/>
      <c r="X29" s="8"/>
      <c r="Y29" s="8"/>
      <c r="Z29" s="8"/>
      <c r="AA29" s="8"/>
      <c r="AB29" s="8"/>
      <c r="AC29" s="8"/>
      <c r="AD29" s="9"/>
      <c r="AE29" s="14" t="s">
        <v>225</v>
      </c>
      <c r="AF29" s="8"/>
      <c r="AG29" s="8"/>
      <c r="AH29" s="8"/>
      <c r="AI29" s="8"/>
      <c r="AJ29" s="8"/>
      <c r="AK29" s="8"/>
      <c r="AL29" s="8"/>
      <c r="AM29" s="8"/>
      <c r="AN29" s="9"/>
      <c r="AO29" s="14" t="s">
        <v>226</v>
      </c>
      <c r="AP29" s="8"/>
      <c r="AQ29" s="8"/>
      <c r="AR29" s="8"/>
      <c r="AS29" s="8"/>
      <c r="AT29" s="8"/>
      <c r="AU29" s="8"/>
      <c r="AV29" s="8"/>
      <c r="AW29" s="8"/>
      <c r="AX29" s="9"/>
      <c r="AY29" s="8"/>
    </row>
    <row r="30" ht="15.75" customHeight="1">
      <c r="A30" s="14" t="s">
        <v>28</v>
      </c>
      <c r="B30" s="16" t="s">
        <v>14</v>
      </c>
      <c r="C30" s="16" t="s">
        <v>18</v>
      </c>
      <c r="D30" s="16" t="s">
        <v>19</v>
      </c>
      <c r="E30" s="16" t="s">
        <v>20</v>
      </c>
      <c r="F30" s="16" t="s">
        <v>21</v>
      </c>
      <c r="G30" s="16" t="s">
        <v>22</v>
      </c>
      <c r="H30" s="16" t="s">
        <v>23</v>
      </c>
      <c r="I30" s="16" t="s">
        <v>24</v>
      </c>
      <c r="J30" s="20"/>
      <c r="K30" s="14" t="s">
        <v>28</v>
      </c>
      <c r="L30" s="16" t="s">
        <v>14</v>
      </c>
      <c r="M30" s="16" t="s">
        <v>18</v>
      </c>
      <c r="N30" s="16" t="s">
        <v>19</v>
      </c>
      <c r="O30" s="16" t="s">
        <v>20</v>
      </c>
      <c r="P30" s="16" t="s">
        <v>21</v>
      </c>
      <c r="Q30" s="16" t="s">
        <v>22</v>
      </c>
      <c r="R30" s="16" t="s">
        <v>23</v>
      </c>
      <c r="S30" s="16" t="s">
        <v>24</v>
      </c>
      <c r="T30" s="20"/>
      <c r="U30" s="14" t="s">
        <v>28</v>
      </c>
      <c r="V30" s="16" t="s">
        <v>14</v>
      </c>
      <c r="W30" s="16" t="s">
        <v>18</v>
      </c>
      <c r="X30" s="16" t="s">
        <v>19</v>
      </c>
      <c r="Y30" s="16" t="s">
        <v>20</v>
      </c>
      <c r="Z30" s="16" t="s">
        <v>21</v>
      </c>
      <c r="AA30" s="16" t="s">
        <v>22</v>
      </c>
      <c r="AB30" s="16" t="s">
        <v>23</v>
      </c>
      <c r="AC30" s="16" t="s">
        <v>24</v>
      </c>
      <c r="AD30" s="20"/>
      <c r="AE30" s="14" t="s">
        <v>28</v>
      </c>
      <c r="AF30" s="16" t="s">
        <v>14</v>
      </c>
      <c r="AG30" s="16" t="s">
        <v>18</v>
      </c>
      <c r="AH30" s="16" t="s">
        <v>19</v>
      </c>
      <c r="AI30" s="16" t="s">
        <v>20</v>
      </c>
      <c r="AJ30" s="16" t="s">
        <v>21</v>
      </c>
      <c r="AK30" s="16" t="s">
        <v>22</v>
      </c>
      <c r="AL30" s="16" t="s">
        <v>23</v>
      </c>
      <c r="AM30" s="16" t="s">
        <v>24</v>
      </c>
      <c r="AN30" s="20"/>
      <c r="AO30" s="14" t="s">
        <v>28</v>
      </c>
      <c r="AP30" s="16" t="s">
        <v>14</v>
      </c>
      <c r="AQ30" s="16" t="s">
        <v>18</v>
      </c>
      <c r="AR30" s="16" t="s">
        <v>19</v>
      </c>
      <c r="AS30" s="16" t="s">
        <v>20</v>
      </c>
      <c r="AT30" s="16" t="s">
        <v>21</v>
      </c>
      <c r="AU30" s="16" t="s">
        <v>22</v>
      </c>
      <c r="AV30" s="16" t="s">
        <v>23</v>
      </c>
      <c r="AW30" s="16" t="s">
        <v>24</v>
      </c>
      <c r="AX30" s="20"/>
      <c r="AY30" s="8"/>
    </row>
    <row r="31" ht="15.75" customHeight="1">
      <c r="A31" s="16" t="s">
        <v>33</v>
      </c>
      <c r="B31" s="8" t="s">
        <v>503</v>
      </c>
      <c r="C31" s="8"/>
      <c r="D31" s="8" t="s">
        <v>481</v>
      </c>
      <c r="E31" s="8"/>
      <c r="F31" s="8"/>
      <c r="G31" s="8" t="s">
        <v>489</v>
      </c>
      <c r="H31" s="8"/>
      <c r="I31" s="8" t="s">
        <v>457</v>
      </c>
      <c r="J31" s="9"/>
      <c r="K31" s="16" t="s">
        <v>33</v>
      </c>
      <c r="L31" s="8" t="s">
        <v>506</v>
      </c>
      <c r="M31" s="8"/>
      <c r="N31" s="8" t="s">
        <v>481</v>
      </c>
      <c r="O31" s="8"/>
      <c r="P31" s="8"/>
      <c r="Q31" s="8" t="s">
        <v>489</v>
      </c>
      <c r="R31" s="8"/>
      <c r="S31" s="8" t="s">
        <v>457</v>
      </c>
      <c r="T31" s="9"/>
      <c r="U31" s="16" t="s">
        <v>33</v>
      </c>
      <c r="V31" s="8" t="s">
        <v>496</v>
      </c>
      <c r="W31" s="8" t="s">
        <v>477</v>
      </c>
      <c r="X31" s="8" t="s">
        <v>477</v>
      </c>
      <c r="Y31" s="8"/>
      <c r="Z31" s="8"/>
      <c r="AA31" s="8" t="s">
        <v>486</v>
      </c>
      <c r="AB31" s="8"/>
      <c r="AC31" s="8"/>
      <c r="AD31" s="9"/>
      <c r="AE31" s="16" t="s">
        <v>33</v>
      </c>
      <c r="AF31" s="8" t="s">
        <v>509</v>
      </c>
      <c r="AG31" s="8" t="s">
        <v>477</v>
      </c>
      <c r="AH31" s="8" t="s">
        <v>477</v>
      </c>
      <c r="AI31" s="8"/>
      <c r="AJ31" s="8"/>
      <c r="AK31" s="8" t="s">
        <v>486</v>
      </c>
      <c r="AL31" s="8" t="s">
        <v>493</v>
      </c>
      <c r="AM31" s="8"/>
      <c r="AN31" s="9"/>
      <c r="AO31" s="16" t="s">
        <v>33</v>
      </c>
      <c r="AP31" s="8" t="s">
        <v>510</v>
      </c>
      <c r="AQ31" s="8"/>
      <c r="AR31" s="8"/>
      <c r="AS31" s="8"/>
      <c r="AT31" s="8"/>
      <c r="AU31" s="8"/>
      <c r="AV31" s="8"/>
      <c r="AW31" s="8"/>
      <c r="AX31" s="9"/>
      <c r="AY31" s="8"/>
    </row>
    <row r="32" ht="15.75" customHeight="1">
      <c r="A32" s="16" t="s">
        <v>38</v>
      </c>
      <c r="B32" s="8" t="s">
        <v>511</v>
      </c>
      <c r="C32" s="8" t="s">
        <v>489</v>
      </c>
      <c r="D32" s="8"/>
      <c r="E32" s="8" t="s">
        <v>481</v>
      </c>
      <c r="F32" s="8"/>
      <c r="G32" s="8"/>
      <c r="H32" s="8" t="s">
        <v>481</v>
      </c>
      <c r="I32" s="8"/>
      <c r="J32" s="9"/>
      <c r="K32" s="16" t="s">
        <v>38</v>
      </c>
      <c r="L32" s="8" t="s">
        <v>512</v>
      </c>
      <c r="M32" s="8" t="s">
        <v>489</v>
      </c>
      <c r="N32" s="8"/>
      <c r="O32" s="8" t="s">
        <v>481</v>
      </c>
      <c r="P32" s="8"/>
      <c r="Q32" s="8"/>
      <c r="R32" s="8"/>
      <c r="S32" s="8"/>
      <c r="T32" s="9"/>
      <c r="U32" s="16" t="s">
        <v>38</v>
      </c>
      <c r="V32" s="8" t="s">
        <v>513</v>
      </c>
      <c r="W32" s="8" t="s">
        <v>486</v>
      </c>
      <c r="X32" s="8"/>
      <c r="Y32" s="8" t="s">
        <v>477</v>
      </c>
      <c r="Z32" s="8"/>
      <c r="AA32" s="8"/>
      <c r="AB32" s="8"/>
      <c r="AC32" s="8"/>
      <c r="AD32" s="9"/>
      <c r="AE32" s="16" t="s">
        <v>38</v>
      </c>
      <c r="AF32" s="8" t="s">
        <v>514</v>
      </c>
      <c r="AG32" s="8" t="s">
        <v>486</v>
      </c>
      <c r="AH32" s="8"/>
      <c r="AI32" s="8" t="s">
        <v>477</v>
      </c>
      <c r="AJ32" s="8"/>
      <c r="AK32" s="8"/>
      <c r="AL32" s="8"/>
      <c r="AM32" s="8"/>
      <c r="AN32" s="9"/>
      <c r="AO32" s="16" t="s">
        <v>38</v>
      </c>
      <c r="AP32" s="8" t="s">
        <v>515</v>
      </c>
      <c r="AQ32" s="8"/>
      <c r="AR32" s="8"/>
      <c r="AS32" s="8"/>
      <c r="AT32" s="8"/>
      <c r="AU32" s="8"/>
      <c r="AV32" s="8"/>
      <c r="AW32" s="8"/>
      <c r="AX32" s="9"/>
      <c r="AY32" s="8"/>
    </row>
    <row r="33" ht="15.75" customHeight="1">
      <c r="A33" s="16" t="s">
        <v>44</v>
      </c>
      <c r="B33" s="8" t="s">
        <v>503</v>
      </c>
      <c r="C33" s="8"/>
      <c r="D33" s="8"/>
      <c r="E33" s="8"/>
      <c r="F33" s="8" t="s">
        <v>481</v>
      </c>
      <c r="G33" s="8"/>
      <c r="H33" s="8"/>
      <c r="I33" s="8"/>
      <c r="J33" s="9"/>
      <c r="K33" s="16" t="s">
        <v>44</v>
      </c>
      <c r="L33" s="8" t="s">
        <v>506</v>
      </c>
      <c r="M33" s="8"/>
      <c r="N33" s="8"/>
      <c r="O33" s="8"/>
      <c r="P33" s="8" t="s">
        <v>481</v>
      </c>
      <c r="Q33" s="8"/>
      <c r="R33" s="8"/>
      <c r="S33" s="8"/>
      <c r="T33" s="9"/>
      <c r="U33" s="16" t="s">
        <v>44</v>
      </c>
      <c r="V33" s="8" t="s">
        <v>496</v>
      </c>
      <c r="W33" s="8"/>
      <c r="X33" s="8"/>
      <c r="Y33" s="8"/>
      <c r="Z33" s="8" t="s">
        <v>477</v>
      </c>
      <c r="AA33" s="8"/>
      <c r="AB33" s="8"/>
      <c r="AC33" s="8"/>
      <c r="AD33" s="9"/>
      <c r="AE33" s="16" t="s">
        <v>44</v>
      </c>
      <c r="AF33" s="8" t="s">
        <v>509</v>
      </c>
      <c r="AG33" s="8"/>
      <c r="AH33" s="8"/>
      <c r="AI33" s="8"/>
      <c r="AJ33" s="8" t="s">
        <v>477</v>
      </c>
      <c r="AK33" s="8"/>
      <c r="AL33" s="8"/>
      <c r="AM33" s="8"/>
      <c r="AN33" s="9"/>
      <c r="AO33" s="16" t="s">
        <v>44</v>
      </c>
      <c r="AP33" s="8" t="s">
        <v>510</v>
      </c>
      <c r="AQ33" s="8"/>
      <c r="AR33" s="8"/>
      <c r="AS33" s="8"/>
      <c r="AT33" s="8"/>
      <c r="AU33" s="8"/>
      <c r="AV33" s="8"/>
      <c r="AW33" s="8"/>
      <c r="AX33" s="9"/>
      <c r="AY33" s="8"/>
    </row>
    <row r="34" ht="15.75" customHeight="1">
      <c r="A34" s="16" t="s">
        <v>47</v>
      </c>
      <c r="B34" s="8" t="s">
        <v>511</v>
      </c>
      <c r="C34" s="8" t="s">
        <v>489</v>
      </c>
      <c r="D34" s="8"/>
      <c r="E34" s="8"/>
      <c r="F34" s="8"/>
      <c r="G34" s="8"/>
      <c r="H34" s="8"/>
      <c r="I34" s="8"/>
      <c r="J34" s="9"/>
      <c r="K34" s="16" t="s">
        <v>47</v>
      </c>
      <c r="L34" s="8" t="s">
        <v>512</v>
      </c>
      <c r="M34" s="8" t="s">
        <v>489</v>
      </c>
      <c r="N34" s="8"/>
      <c r="O34" s="8"/>
      <c r="P34" s="8"/>
      <c r="Q34" s="8"/>
      <c r="R34" s="8"/>
      <c r="S34" s="8"/>
      <c r="T34" s="9"/>
      <c r="U34" s="16" t="s">
        <v>47</v>
      </c>
      <c r="V34" s="8" t="s">
        <v>513</v>
      </c>
      <c r="W34" s="8" t="s">
        <v>486</v>
      </c>
      <c r="X34" s="8"/>
      <c r="Y34" s="8"/>
      <c r="Z34" s="8"/>
      <c r="AA34" s="8"/>
      <c r="AB34" s="8"/>
      <c r="AC34" s="8"/>
      <c r="AD34" s="9"/>
      <c r="AE34" s="16" t="s">
        <v>47</v>
      </c>
      <c r="AF34" s="8" t="s">
        <v>514</v>
      </c>
      <c r="AG34" s="8"/>
      <c r="AH34" s="8"/>
      <c r="AI34" s="8"/>
      <c r="AJ34" s="8"/>
      <c r="AK34" s="8"/>
      <c r="AL34" s="8"/>
      <c r="AM34" s="8"/>
      <c r="AN34" s="9"/>
      <c r="AO34" s="16" t="s">
        <v>47</v>
      </c>
      <c r="AP34" s="8" t="s">
        <v>515</v>
      </c>
      <c r="AQ34" s="8"/>
      <c r="AR34" s="8"/>
      <c r="AS34" s="8"/>
      <c r="AT34" s="8"/>
      <c r="AU34" s="8"/>
      <c r="AV34" s="8"/>
      <c r="AW34" s="8"/>
      <c r="AX34" s="9"/>
      <c r="AY34" s="8"/>
    </row>
    <row r="35" ht="15.75" customHeight="1">
      <c r="A35" s="23" t="s">
        <v>54</v>
      </c>
      <c r="B35" s="24" t="s">
        <v>503</v>
      </c>
      <c r="C35" s="24"/>
      <c r="D35" s="24" t="s">
        <v>481</v>
      </c>
      <c r="E35" s="24"/>
      <c r="F35" s="24"/>
      <c r="G35" s="24"/>
      <c r="H35" s="24"/>
      <c r="I35" s="24"/>
      <c r="J35" s="25"/>
      <c r="K35" s="23" t="s">
        <v>54</v>
      </c>
      <c r="L35" s="24" t="s">
        <v>506</v>
      </c>
      <c r="M35" s="24"/>
      <c r="N35" s="24" t="s">
        <v>481</v>
      </c>
      <c r="O35" s="24"/>
      <c r="P35" s="24"/>
      <c r="Q35" s="24"/>
      <c r="R35" s="24"/>
      <c r="S35" s="24" t="s">
        <v>516</v>
      </c>
      <c r="T35" s="25"/>
      <c r="U35" s="23" t="s">
        <v>54</v>
      </c>
      <c r="V35" s="24" t="s">
        <v>496</v>
      </c>
      <c r="W35" s="24"/>
      <c r="X35" s="24" t="s">
        <v>477</v>
      </c>
      <c r="Y35" s="24"/>
      <c r="Z35" s="24"/>
      <c r="AA35" s="24"/>
      <c r="AB35" s="24"/>
      <c r="AC35" s="24" t="s">
        <v>457</v>
      </c>
      <c r="AD35" s="25"/>
      <c r="AE35" s="23" t="s">
        <v>54</v>
      </c>
      <c r="AF35" s="24" t="s">
        <v>509</v>
      </c>
      <c r="AG35" s="24"/>
      <c r="AH35" s="24" t="s">
        <v>477</v>
      </c>
      <c r="AI35" s="24"/>
      <c r="AJ35" s="24"/>
      <c r="AK35" s="24"/>
      <c r="AL35" s="24"/>
      <c r="AM35" s="24" t="s">
        <v>457</v>
      </c>
      <c r="AN35" s="25"/>
      <c r="AO35" s="23" t="s">
        <v>54</v>
      </c>
      <c r="AP35" s="24" t="s">
        <v>510</v>
      </c>
      <c r="AQ35" s="24"/>
      <c r="AR35" s="24"/>
      <c r="AS35" s="24"/>
      <c r="AT35" s="24"/>
      <c r="AU35" s="24"/>
      <c r="AV35" s="24"/>
      <c r="AW35" s="24"/>
      <c r="AX35" s="25"/>
      <c r="AY35" s="24"/>
    </row>
    <row r="36" ht="15.75" customHeight="1">
      <c r="A36" s="14" t="s">
        <v>230</v>
      </c>
      <c r="B36" s="8"/>
      <c r="C36" s="8"/>
      <c r="D36" s="8"/>
      <c r="E36" s="8"/>
      <c r="F36" s="8"/>
      <c r="G36" s="8"/>
      <c r="H36" s="8"/>
      <c r="I36" s="8"/>
      <c r="J36" s="9"/>
      <c r="K36" s="14" t="s">
        <v>231</v>
      </c>
      <c r="L36" s="8"/>
      <c r="M36" s="8"/>
      <c r="N36" s="8"/>
      <c r="O36" s="8"/>
      <c r="P36" s="8"/>
      <c r="Q36" s="8"/>
      <c r="R36" s="8"/>
      <c r="S36" s="8"/>
      <c r="T36" s="9"/>
      <c r="U36" s="14" t="s">
        <v>235</v>
      </c>
      <c r="V36" s="8"/>
      <c r="W36" s="8"/>
      <c r="X36" s="8"/>
      <c r="Y36" s="8"/>
      <c r="Z36" s="8"/>
      <c r="AA36" s="8"/>
      <c r="AB36" s="8"/>
      <c r="AC36" s="8"/>
      <c r="AD36" s="9"/>
      <c r="AE36" s="14" t="s">
        <v>239</v>
      </c>
      <c r="AF36" s="8"/>
      <c r="AG36" s="8"/>
      <c r="AH36" s="8"/>
      <c r="AI36" s="8"/>
      <c r="AJ36" s="8"/>
      <c r="AK36" s="8"/>
      <c r="AL36" s="8"/>
      <c r="AM36" s="8"/>
      <c r="AN36" s="9"/>
      <c r="AO36" s="8"/>
      <c r="AP36" s="8"/>
      <c r="AQ36" s="8"/>
      <c r="AR36" s="8"/>
      <c r="AS36" s="8"/>
      <c r="AT36" s="8"/>
      <c r="AU36" s="8"/>
      <c r="AV36" s="8"/>
      <c r="AW36" s="8"/>
      <c r="AX36" s="29"/>
      <c r="AY36" s="8"/>
    </row>
    <row r="37" ht="15.75" customHeight="1">
      <c r="A37" s="14" t="s">
        <v>28</v>
      </c>
      <c r="B37" s="16" t="s">
        <v>14</v>
      </c>
      <c r="C37" s="16" t="s">
        <v>18</v>
      </c>
      <c r="D37" s="16" t="s">
        <v>19</v>
      </c>
      <c r="E37" s="16" t="s">
        <v>20</v>
      </c>
      <c r="F37" s="16" t="s">
        <v>21</v>
      </c>
      <c r="G37" s="16" t="s">
        <v>22</v>
      </c>
      <c r="H37" s="16" t="s">
        <v>23</v>
      </c>
      <c r="I37" s="16" t="s">
        <v>24</v>
      </c>
      <c r="J37" s="20"/>
      <c r="K37" s="14" t="s">
        <v>28</v>
      </c>
      <c r="L37" s="16" t="s">
        <v>14</v>
      </c>
      <c r="M37" s="16" t="s">
        <v>18</v>
      </c>
      <c r="N37" s="16" t="s">
        <v>19</v>
      </c>
      <c r="O37" s="16" t="s">
        <v>20</v>
      </c>
      <c r="P37" s="16" t="s">
        <v>21</v>
      </c>
      <c r="Q37" s="16" t="s">
        <v>22</v>
      </c>
      <c r="R37" s="16" t="s">
        <v>23</v>
      </c>
      <c r="S37" s="16" t="s">
        <v>24</v>
      </c>
      <c r="T37" s="20"/>
      <c r="U37" s="14" t="s">
        <v>28</v>
      </c>
      <c r="V37" s="16" t="s">
        <v>14</v>
      </c>
      <c r="W37" s="16" t="s">
        <v>18</v>
      </c>
      <c r="X37" s="16" t="s">
        <v>19</v>
      </c>
      <c r="Y37" s="16" t="s">
        <v>20</v>
      </c>
      <c r="Z37" s="16" t="s">
        <v>21</v>
      </c>
      <c r="AA37" s="16" t="s">
        <v>22</v>
      </c>
      <c r="AB37" s="16" t="s">
        <v>23</v>
      </c>
      <c r="AC37" s="16" t="s">
        <v>24</v>
      </c>
      <c r="AD37" s="20"/>
      <c r="AE37" s="14" t="s">
        <v>28</v>
      </c>
      <c r="AF37" s="16" t="s">
        <v>14</v>
      </c>
      <c r="AG37" s="16" t="s">
        <v>18</v>
      </c>
      <c r="AH37" s="16" t="s">
        <v>19</v>
      </c>
      <c r="AI37" s="16" t="s">
        <v>20</v>
      </c>
      <c r="AJ37" s="16" t="s">
        <v>21</v>
      </c>
      <c r="AK37" s="16" t="s">
        <v>22</v>
      </c>
      <c r="AL37" s="16" t="s">
        <v>23</v>
      </c>
      <c r="AM37" s="16" t="s">
        <v>24</v>
      </c>
      <c r="AN37" s="20"/>
      <c r="AO37" s="8"/>
      <c r="AP37" s="8"/>
      <c r="AQ37" s="8"/>
      <c r="AR37" s="8"/>
      <c r="AS37" s="8"/>
      <c r="AT37" s="8"/>
      <c r="AU37" s="8"/>
      <c r="AV37" s="8"/>
      <c r="AW37" s="8"/>
      <c r="AX37" s="9"/>
      <c r="AY37" s="8"/>
    </row>
    <row r="38" ht="15.75" customHeight="1">
      <c r="A38" s="16" t="s">
        <v>33</v>
      </c>
      <c r="B38" s="8"/>
      <c r="C38" s="8" t="s">
        <v>517</v>
      </c>
      <c r="D38" s="8" t="s">
        <v>518</v>
      </c>
      <c r="E38" s="8"/>
      <c r="F38" s="8"/>
      <c r="G38" s="8" t="s">
        <v>517</v>
      </c>
      <c r="H38" s="8" t="s">
        <v>519</v>
      </c>
      <c r="I38" s="8" t="s">
        <v>519</v>
      </c>
      <c r="J38" s="9"/>
      <c r="K38" s="16" t="s">
        <v>33</v>
      </c>
      <c r="L38" s="8" t="s">
        <v>520</v>
      </c>
      <c r="M38" s="8"/>
      <c r="N38" s="8" t="s">
        <v>518</v>
      </c>
      <c r="O38" s="8"/>
      <c r="P38" s="8"/>
      <c r="Q38" s="8"/>
      <c r="R38" s="8" t="s">
        <v>503</v>
      </c>
      <c r="S38" s="8" t="s">
        <v>503</v>
      </c>
      <c r="T38" s="9"/>
      <c r="U38" s="16" t="s">
        <v>33</v>
      </c>
      <c r="V38" s="8" t="s">
        <v>521</v>
      </c>
      <c r="W38" s="8"/>
      <c r="X38" s="8"/>
      <c r="Y38" s="8"/>
      <c r="Z38" s="8"/>
      <c r="AA38" s="8" t="s">
        <v>522</v>
      </c>
      <c r="AB38" s="8" t="s">
        <v>522</v>
      </c>
      <c r="AC38" s="8"/>
      <c r="AD38" s="9"/>
      <c r="AE38" s="16" t="s">
        <v>33</v>
      </c>
      <c r="AF38" s="8" t="s">
        <v>523</v>
      </c>
      <c r="AG38" s="8"/>
      <c r="AH38" s="8" t="s">
        <v>518</v>
      </c>
      <c r="AI38" s="8" t="s">
        <v>523</v>
      </c>
      <c r="AJ38" s="8"/>
      <c r="AK38" s="8"/>
      <c r="AL38" s="8"/>
      <c r="AM38" s="8"/>
      <c r="AN38" s="9"/>
      <c r="AO38" s="8"/>
      <c r="AP38" s="8"/>
      <c r="AQ38" s="8"/>
      <c r="AR38" s="8"/>
      <c r="AS38" s="8"/>
      <c r="AT38" s="8"/>
      <c r="AU38" s="8"/>
      <c r="AV38" s="8"/>
      <c r="AW38" s="8"/>
      <c r="AX38" s="9"/>
      <c r="AY38" s="8"/>
    </row>
    <row r="39" ht="15.75" customHeight="1">
      <c r="A39" s="16" t="s">
        <v>38</v>
      </c>
      <c r="B39" s="8" t="s">
        <v>519</v>
      </c>
      <c r="C39" s="8"/>
      <c r="D39" s="8"/>
      <c r="E39" s="8" t="s">
        <v>506</v>
      </c>
      <c r="F39" s="8" t="s">
        <v>518</v>
      </c>
      <c r="G39" s="8"/>
      <c r="H39" s="8"/>
      <c r="I39" s="8" t="s">
        <v>506</v>
      </c>
      <c r="J39" s="9"/>
      <c r="K39" s="16" t="s">
        <v>38</v>
      </c>
      <c r="L39" s="8"/>
      <c r="M39" s="8" t="s">
        <v>480</v>
      </c>
      <c r="N39" s="8" t="s">
        <v>480</v>
      </c>
      <c r="O39" s="8"/>
      <c r="P39" s="8" t="s">
        <v>518</v>
      </c>
      <c r="Q39" s="8"/>
      <c r="R39" s="8"/>
      <c r="S39" s="8"/>
      <c r="T39" s="9"/>
      <c r="U39" s="16" t="s">
        <v>38</v>
      </c>
      <c r="V39" s="8" t="s">
        <v>521</v>
      </c>
      <c r="W39" s="8"/>
      <c r="X39" s="8"/>
      <c r="Y39" s="8" t="s">
        <v>520</v>
      </c>
      <c r="Z39" s="8"/>
      <c r="AA39" s="8" t="s">
        <v>521</v>
      </c>
      <c r="AB39" s="8"/>
      <c r="AC39" s="8" t="s">
        <v>520</v>
      </c>
      <c r="AD39" s="9"/>
      <c r="AE39" s="16" t="s">
        <v>38</v>
      </c>
      <c r="AF39" s="8" t="s">
        <v>523</v>
      </c>
      <c r="AG39" s="8"/>
      <c r="AH39" s="8"/>
      <c r="AI39" s="8"/>
      <c r="AJ39" s="8" t="s">
        <v>518</v>
      </c>
      <c r="AK39" s="8"/>
      <c r="AL39" s="8"/>
      <c r="AM39" s="8"/>
      <c r="AN39" s="9"/>
      <c r="AO39" s="8"/>
      <c r="AP39" s="8"/>
      <c r="AQ39" s="8"/>
      <c r="AR39" s="8"/>
      <c r="AS39" s="8"/>
      <c r="AT39" s="8"/>
      <c r="AU39" s="8"/>
      <c r="AV39" s="8"/>
      <c r="AW39" s="8"/>
      <c r="AX39" s="9"/>
      <c r="AY39" s="8"/>
    </row>
    <row r="40" ht="15.75" customHeight="1">
      <c r="A40" s="16" t="s">
        <v>44</v>
      </c>
      <c r="B40" s="8" t="s">
        <v>519</v>
      </c>
      <c r="C40" s="8"/>
      <c r="D40" s="8"/>
      <c r="E40" s="8" t="s">
        <v>524</v>
      </c>
      <c r="F40" s="8"/>
      <c r="G40" s="8" t="s">
        <v>518</v>
      </c>
      <c r="H40" s="8" t="s">
        <v>525</v>
      </c>
      <c r="I40" s="8" t="s">
        <v>524</v>
      </c>
      <c r="J40" s="9"/>
      <c r="K40" s="16" t="s">
        <v>44</v>
      </c>
      <c r="L40" s="8" t="s">
        <v>520</v>
      </c>
      <c r="M40" s="8"/>
      <c r="N40" s="8"/>
      <c r="O40" s="8" t="s">
        <v>461</v>
      </c>
      <c r="P40" s="8" t="s">
        <v>461</v>
      </c>
      <c r="Q40" s="8" t="s">
        <v>518</v>
      </c>
      <c r="R40" s="8" t="s">
        <v>525</v>
      </c>
      <c r="S40" s="8"/>
      <c r="T40" s="9"/>
      <c r="U40" s="16" t="s">
        <v>44</v>
      </c>
      <c r="V40" s="8" t="s">
        <v>521</v>
      </c>
      <c r="W40" s="8" t="s">
        <v>526</v>
      </c>
      <c r="X40" s="8" t="s">
        <v>526</v>
      </c>
      <c r="Y40" s="8"/>
      <c r="Z40" s="8"/>
      <c r="AA40" s="8"/>
      <c r="AB40" s="8"/>
      <c r="AC40" s="8"/>
      <c r="AD40" s="9"/>
      <c r="AE40" s="16" t="s">
        <v>44</v>
      </c>
      <c r="AF40" s="8" t="s">
        <v>523</v>
      </c>
      <c r="AG40" s="8" t="s">
        <v>478</v>
      </c>
      <c r="AH40" s="8" t="s">
        <v>478</v>
      </c>
      <c r="AI40" s="8"/>
      <c r="AJ40" s="8"/>
      <c r="AK40" s="8" t="s">
        <v>518</v>
      </c>
      <c r="AL40" s="8"/>
      <c r="AM40" s="8"/>
      <c r="AN40" s="9"/>
      <c r="AO40" s="8"/>
      <c r="AP40" s="8"/>
      <c r="AQ40" s="8"/>
      <c r="AR40" s="8"/>
      <c r="AS40" s="8"/>
      <c r="AT40" s="8"/>
      <c r="AU40" s="8"/>
      <c r="AV40" s="8"/>
      <c r="AW40" s="8"/>
      <c r="AX40" s="9"/>
      <c r="AY40" s="8"/>
    </row>
    <row r="41" ht="15.75" customHeight="1">
      <c r="A41" s="16" t="s">
        <v>47</v>
      </c>
      <c r="B41" s="8" t="s">
        <v>519</v>
      </c>
      <c r="C41" s="8"/>
      <c r="D41" s="8"/>
      <c r="E41" s="8"/>
      <c r="F41" s="8" t="s">
        <v>525</v>
      </c>
      <c r="G41" s="8"/>
      <c r="H41" s="8" t="s">
        <v>518</v>
      </c>
      <c r="I41" s="8" t="s">
        <v>518</v>
      </c>
      <c r="J41" s="9"/>
      <c r="K41" s="16" t="s">
        <v>47</v>
      </c>
      <c r="L41" s="8" t="s">
        <v>520</v>
      </c>
      <c r="M41" s="8"/>
      <c r="N41" s="8"/>
      <c r="O41" s="8"/>
      <c r="P41" s="8" t="s">
        <v>525</v>
      </c>
      <c r="Q41" s="8"/>
      <c r="R41" s="8" t="s">
        <v>518</v>
      </c>
      <c r="S41" s="8" t="s">
        <v>518</v>
      </c>
      <c r="T41" s="9"/>
      <c r="U41" s="16" t="s">
        <v>47</v>
      </c>
      <c r="V41" s="8" t="s">
        <v>521</v>
      </c>
      <c r="W41" s="8" t="s">
        <v>494</v>
      </c>
      <c r="X41" s="8" t="s">
        <v>494</v>
      </c>
      <c r="Y41" s="8"/>
      <c r="Z41" s="8"/>
      <c r="AA41" s="8"/>
      <c r="AB41" s="8"/>
      <c r="AC41" s="8"/>
      <c r="AD41" s="9"/>
      <c r="AE41" s="16" t="s">
        <v>47</v>
      </c>
      <c r="AF41" s="8" t="s">
        <v>523</v>
      </c>
      <c r="AG41" s="8" t="s">
        <v>527</v>
      </c>
      <c r="AH41" s="8" t="s">
        <v>527</v>
      </c>
      <c r="AI41" s="8"/>
      <c r="AJ41" s="8"/>
      <c r="AK41" s="8"/>
      <c r="AL41" s="8" t="s">
        <v>518</v>
      </c>
      <c r="AM41" s="8" t="s">
        <v>518</v>
      </c>
      <c r="AN41" s="9"/>
      <c r="AO41" s="8"/>
      <c r="AP41" s="8"/>
      <c r="AQ41" s="8"/>
      <c r="AR41" s="8"/>
      <c r="AS41" s="8"/>
      <c r="AT41" s="8"/>
      <c r="AU41" s="8"/>
      <c r="AV41" s="8"/>
      <c r="AW41" s="8"/>
      <c r="AX41" s="9"/>
      <c r="AY41" s="8"/>
    </row>
    <row r="42" ht="15.75" customHeight="1">
      <c r="A42" s="23" t="s">
        <v>54</v>
      </c>
      <c r="B42" s="24" t="s">
        <v>519</v>
      </c>
      <c r="C42" s="24"/>
      <c r="D42" s="24" t="s">
        <v>518</v>
      </c>
      <c r="E42" s="24" t="s">
        <v>535</v>
      </c>
      <c r="F42" s="24" t="s">
        <v>535</v>
      </c>
      <c r="G42" s="24"/>
      <c r="H42" s="24"/>
      <c r="I42" s="24"/>
      <c r="J42" s="25"/>
      <c r="K42" s="23" t="s">
        <v>54</v>
      </c>
      <c r="L42" s="24" t="s">
        <v>520</v>
      </c>
      <c r="M42" s="24"/>
      <c r="N42" s="24" t="s">
        <v>518</v>
      </c>
      <c r="O42" s="24"/>
      <c r="P42" s="24"/>
      <c r="Q42" s="24"/>
      <c r="R42" s="24"/>
      <c r="S42" s="24"/>
      <c r="T42" s="25"/>
      <c r="U42" s="23" t="s">
        <v>54</v>
      </c>
      <c r="V42" s="24" t="s">
        <v>521</v>
      </c>
      <c r="W42" s="24"/>
      <c r="X42" s="24"/>
      <c r="Y42" s="24"/>
      <c r="Z42" s="24"/>
      <c r="AA42" s="24"/>
      <c r="AB42" s="24"/>
      <c r="AC42" s="24"/>
      <c r="AD42" s="25"/>
      <c r="AE42" s="23" t="s">
        <v>54</v>
      </c>
      <c r="AF42" s="24" t="s">
        <v>523</v>
      </c>
      <c r="AG42" s="24"/>
      <c r="AH42" s="24" t="s">
        <v>518</v>
      </c>
      <c r="AI42" s="24"/>
      <c r="AJ42" s="24"/>
      <c r="AK42" s="24"/>
      <c r="AL42" s="24"/>
      <c r="AM42" s="24"/>
      <c r="AN42" s="25"/>
      <c r="AO42" s="24"/>
      <c r="AP42" s="24"/>
      <c r="AQ42" s="24"/>
      <c r="AR42" s="24"/>
      <c r="AS42" s="24"/>
      <c r="AT42" s="24"/>
      <c r="AU42" s="24"/>
      <c r="AV42" s="24"/>
      <c r="AW42" s="24"/>
      <c r="AX42" s="25"/>
      <c r="AY42" s="24"/>
    </row>
    <row r="43" ht="15.75" customHeight="1">
      <c r="A43" s="14" t="s">
        <v>242</v>
      </c>
      <c r="B43" s="8"/>
      <c r="C43" s="8"/>
      <c r="D43" s="8"/>
      <c r="E43" s="8"/>
      <c r="F43" s="8"/>
      <c r="G43" s="8"/>
      <c r="H43" s="8"/>
      <c r="I43" s="8"/>
      <c r="J43" s="9"/>
      <c r="K43" s="14" t="s">
        <v>245</v>
      </c>
      <c r="L43" s="8"/>
      <c r="M43" s="8"/>
      <c r="N43" s="8"/>
      <c r="O43" s="8"/>
      <c r="P43" s="8"/>
      <c r="Q43" s="8"/>
      <c r="R43" s="8"/>
      <c r="S43" s="8"/>
      <c r="T43" s="9"/>
      <c r="U43" s="14" t="s">
        <v>249</v>
      </c>
      <c r="V43" s="8"/>
      <c r="W43" s="8"/>
      <c r="X43" s="8"/>
      <c r="Y43" s="8"/>
      <c r="Z43" s="8"/>
      <c r="AA43" s="8"/>
      <c r="AB43" s="8"/>
      <c r="AC43" s="8"/>
      <c r="AD43" s="9"/>
      <c r="AE43" s="14" t="s">
        <v>251</v>
      </c>
      <c r="AF43" s="8"/>
      <c r="AG43" s="8"/>
      <c r="AH43" s="8"/>
      <c r="AI43" s="8"/>
      <c r="AJ43" s="8"/>
      <c r="AK43" s="8"/>
      <c r="AL43" s="8"/>
      <c r="AM43" s="8"/>
      <c r="AN43" s="9"/>
      <c r="AO43" s="8"/>
      <c r="AP43" s="8"/>
      <c r="AQ43" s="8"/>
      <c r="AR43" s="8"/>
      <c r="AS43" s="8"/>
      <c r="AT43" s="8"/>
      <c r="AU43" s="8"/>
      <c r="AV43" s="8"/>
      <c r="AW43" s="8"/>
      <c r="AX43" s="9"/>
      <c r="AY43" s="8"/>
    </row>
    <row r="44" ht="15.75" customHeight="1">
      <c r="A44" s="14" t="s">
        <v>28</v>
      </c>
      <c r="B44" s="16" t="s">
        <v>14</v>
      </c>
      <c r="C44" s="16" t="s">
        <v>18</v>
      </c>
      <c r="D44" s="16" t="s">
        <v>19</v>
      </c>
      <c r="E44" s="16" t="s">
        <v>20</v>
      </c>
      <c r="F44" s="16" t="s">
        <v>21</v>
      </c>
      <c r="G44" s="16" t="s">
        <v>22</v>
      </c>
      <c r="H44" s="16" t="s">
        <v>23</v>
      </c>
      <c r="I44" s="16" t="s">
        <v>24</v>
      </c>
      <c r="J44" s="20"/>
      <c r="K44" s="14" t="s">
        <v>28</v>
      </c>
      <c r="L44" s="16" t="s">
        <v>14</v>
      </c>
      <c r="M44" s="16" t="s">
        <v>18</v>
      </c>
      <c r="N44" s="16" t="s">
        <v>19</v>
      </c>
      <c r="O44" s="16" t="s">
        <v>20</v>
      </c>
      <c r="P44" s="16" t="s">
        <v>21</v>
      </c>
      <c r="Q44" s="16" t="s">
        <v>22</v>
      </c>
      <c r="R44" s="16" t="s">
        <v>23</v>
      </c>
      <c r="S44" s="16" t="s">
        <v>24</v>
      </c>
      <c r="T44" s="20"/>
      <c r="U44" s="14" t="s">
        <v>28</v>
      </c>
      <c r="V44" s="16" t="s">
        <v>14</v>
      </c>
      <c r="W44" s="16" t="s">
        <v>18</v>
      </c>
      <c r="X44" s="16" t="s">
        <v>19</v>
      </c>
      <c r="Y44" s="16" t="s">
        <v>20</v>
      </c>
      <c r="Z44" s="16" t="s">
        <v>21</v>
      </c>
      <c r="AA44" s="16" t="s">
        <v>22</v>
      </c>
      <c r="AB44" s="16" t="s">
        <v>23</v>
      </c>
      <c r="AC44" s="16" t="s">
        <v>24</v>
      </c>
      <c r="AD44" s="20"/>
      <c r="AE44" s="14" t="s">
        <v>28</v>
      </c>
      <c r="AF44" s="16" t="s">
        <v>14</v>
      </c>
      <c r="AG44" s="16" t="s">
        <v>18</v>
      </c>
      <c r="AH44" s="16" t="s">
        <v>19</v>
      </c>
      <c r="AI44" s="16" t="s">
        <v>20</v>
      </c>
      <c r="AJ44" s="16" t="s">
        <v>21</v>
      </c>
      <c r="AK44" s="16" t="s">
        <v>22</v>
      </c>
      <c r="AL44" s="16" t="s">
        <v>23</v>
      </c>
      <c r="AM44" s="16" t="s">
        <v>24</v>
      </c>
      <c r="AN44" s="20"/>
      <c r="AO44" s="8"/>
      <c r="AP44" s="8"/>
      <c r="AQ44" s="8"/>
      <c r="AR44" s="8"/>
      <c r="AS44" s="8"/>
      <c r="AT44" s="8"/>
      <c r="AU44" s="8"/>
      <c r="AV44" s="8"/>
      <c r="AW44" s="8"/>
      <c r="AX44" s="9"/>
      <c r="AY44" s="8"/>
    </row>
    <row r="45" ht="15.75" customHeight="1">
      <c r="A45" s="16" t="s">
        <v>33</v>
      </c>
      <c r="B45" s="8" t="s">
        <v>494</v>
      </c>
      <c r="C45" s="8"/>
      <c r="D45" s="8"/>
      <c r="E45" s="8" t="s">
        <v>525</v>
      </c>
      <c r="F45" s="8"/>
      <c r="G45" s="8"/>
      <c r="H45" s="8"/>
      <c r="I45" s="8"/>
      <c r="J45" s="9"/>
      <c r="K45" s="16" t="s">
        <v>33</v>
      </c>
      <c r="L45" s="8" t="s">
        <v>535</v>
      </c>
      <c r="M45" s="8"/>
      <c r="N45" s="8" t="s">
        <v>524</v>
      </c>
      <c r="O45" s="8" t="s">
        <v>525</v>
      </c>
      <c r="P45" s="8"/>
      <c r="Q45" s="8" t="s">
        <v>524</v>
      </c>
      <c r="R45" s="8" t="s">
        <v>524</v>
      </c>
      <c r="S45" s="8"/>
      <c r="T45" s="9"/>
      <c r="U45" s="16" t="s">
        <v>33</v>
      </c>
      <c r="V45" s="8" t="s">
        <v>517</v>
      </c>
      <c r="W45" s="8"/>
      <c r="X45" s="8"/>
      <c r="Y45" s="8"/>
      <c r="Z45" s="8" t="s">
        <v>591</v>
      </c>
      <c r="AA45" s="8"/>
      <c r="AB45" s="8"/>
      <c r="AC45" s="8" t="s">
        <v>591</v>
      </c>
      <c r="AD45" s="9"/>
      <c r="AE45" s="16" t="s">
        <v>33</v>
      </c>
      <c r="AF45" s="8" t="s">
        <v>527</v>
      </c>
      <c r="AG45" s="8" t="s">
        <v>480</v>
      </c>
      <c r="AH45" s="8" t="s">
        <v>480</v>
      </c>
      <c r="AI45" s="8"/>
      <c r="AJ45" s="8"/>
      <c r="AK45" s="8"/>
      <c r="AL45" s="8" t="s">
        <v>593</v>
      </c>
      <c r="AM45" s="8"/>
      <c r="AN45" s="9"/>
      <c r="AO45" s="8"/>
      <c r="AP45" s="8"/>
      <c r="AQ45" s="8"/>
      <c r="AR45" s="8"/>
      <c r="AS45" s="8"/>
      <c r="AT45" s="8"/>
      <c r="AU45" s="8"/>
      <c r="AV45" s="8"/>
      <c r="AW45" s="8"/>
      <c r="AX45" s="9"/>
      <c r="AY45" s="8"/>
    </row>
    <row r="46" ht="15.75" customHeight="1">
      <c r="A46" s="16" t="s">
        <v>38</v>
      </c>
      <c r="B46" s="8" t="s">
        <v>494</v>
      </c>
      <c r="C46" s="8"/>
      <c r="D46" s="8"/>
      <c r="E46" s="8" t="s">
        <v>461</v>
      </c>
      <c r="F46" s="8" t="s">
        <v>461</v>
      </c>
      <c r="G46" s="8"/>
      <c r="H46" s="8" t="s">
        <v>596</v>
      </c>
      <c r="I46" s="8" t="s">
        <v>525</v>
      </c>
      <c r="J46" s="9"/>
      <c r="K46" s="16" t="s">
        <v>38</v>
      </c>
      <c r="L46" s="8" t="s">
        <v>535</v>
      </c>
      <c r="M46" s="8" t="s">
        <v>478</v>
      </c>
      <c r="N46" s="8"/>
      <c r="O46" s="8"/>
      <c r="P46" s="8"/>
      <c r="Q46" s="8" t="s">
        <v>478</v>
      </c>
      <c r="R46" s="8" t="s">
        <v>596</v>
      </c>
      <c r="S46" s="8" t="s">
        <v>525</v>
      </c>
      <c r="T46" s="9"/>
      <c r="U46" s="16" t="s">
        <v>38</v>
      </c>
      <c r="V46" s="8" t="s">
        <v>517</v>
      </c>
      <c r="W46" s="8"/>
      <c r="X46" s="8"/>
      <c r="Y46" s="8" t="s">
        <v>522</v>
      </c>
      <c r="Z46" s="8"/>
      <c r="AA46" s="8" t="s">
        <v>522</v>
      </c>
      <c r="AB46" s="8" t="s">
        <v>598</v>
      </c>
      <c r="AC46" s="8"/>
      <c r="AD46" s="9"/>
      <c r="AE46" s="16" t="s">
        <v>38</v>
      </c>
      <c r="AF46" s="8" t="s">
        <v>527</v>
      </c>
      <c r="AG46" s="8"/>
      <c r="AH46" s="8"/>
      <c r="AI46" s="8"/>
      <c r="AJ46" s="8"/>
      <c r="AK46" s="8"/>
      <c r="AL46" s="8" t="s">
        <v>596</v>
      </c>
      <c r="AM46" s="8"/>
      <c r="AN46" s="9"/>
      <c r="AO46" s="8"/>
      <c r="AP46" s="8"/>
      <c r="AQ46" s="8"/>
      <c r="AR46" s="8"/>
      <c r="AS46" s="8"/>
      <c r="AT46" s="8"/>
      <c r="AU46" s="8"/>
      <c r="AV46" s="8"/>
      <c r="AW46" s="8"/>
      <c r="AX46" s="9"/>
      <c r="AY46" s="8"/>
    </row>
    <row r="47" ht="15.75" customHeight="1">
      <c r="A47" s="16" t="s">
        <v>44</v>
      </c>
      <c r="B47" s="8" t="s">
        <v>494</v>
      </c>
      <c r="C47" s="8"/>
      <c r="D47" s="8"/>
      <c r="E47" s="8"/>
      <c r="F47" s="8"/>
      <c r="G47" s="8" t="s">
        <v>494</v>
      </c>
      <c r="H47" s="8"/>
      <c r="I47" s="8"/>
      <c r="J47" s="9"/>
      <c r="K47" s="16" t="s">
        <v>44</v>
      </c>
      <c r="L47" s="8"/>
      <c r="M47" s="8"/>
      <c r="N47" s="8"/>
      <c r="O47" s="8"/>
      <c r="P47" s="8"/>
      <c r="Q47" s="8"/>
      <c r="R47" s="8" t="s">
        <v>535</v>
      </c>
      <c r="S47" s="8" t="s">
        <v>535</v>
      </c>
      <c r="T47" s="9"/>
      <c r="U47" s="16" t="s">
        <v>44</v>
      </c>
      <c r="V47" s="8" t="s">
        <v>517</v>
      </c>
      <c r="W47" s="8"/>
      <c r="X47" s="8" t="s">
        <v>598</v>
      </c>
      <c r="Y47" s="8" t="s">
        <v>598</v>
      </c>
      <c r="Z47" s="8"/>
      <c r="AA47" s="8" t="s">
        <v>517</v>
      </c>
      <c r="AB47" s="8"/>
      <c r="AC47" s="8"/>
      <c r="AD47" s="9"/>
      <c r="AE47" s="16" t="s">
        <v>44</v>
      </c>
      <c r="AF47" s="8" t="s">
        <v>527</v>
      </c>
      <c r="AG47" s="8"/>
      <c r="AH47" s="8"/>
      <c r="AI47" s="8"/>
      <c r="AJ47" s="8"/>
      <c r="AK47" s="8"/>
      <c r="AL47" s="8" t="s">
        <v>527</v>
      </c>
      <c r="AM47" s="8"/>
      <c r="AN47" s="9"/>
      <c r="AO47" s="8"/>
      <c r="AP47" s="8"/>
      <c r="AQ47" s="8"/>
      <c r="AR47" s="8"/>
      <c r="AS47" s="8"/>
      <c r="AT47" s="8"/>
      <c r="AU47" s="8"/>
      <c r="AV47" s="8"/>
      <c r="AW47" s="8"/>
      <c r="AX47" s="9"/>
      <c r="AY47" s="8"/>
    </row>
    <row r="48" ht="15.75" customHeight="1">
      <c r="A48" s="16" t="s">
        <v>47</v>
      </c>
      <c r="B48" s="8" t="s">
        <v>494</v>
      </c>
      <c r="C48" s="8"/>
      <c r="D48" s="8"/>
      <c r="E48" s="8" t="s">
        <v>496</v>
      </c>
      <c r="F48" s="8" t="s">
        <v>496</v>
      </c>
      <c r="G48" s="8" t="s">
        <v>596</v>
      </c>
      <c r="H48" s="8"/>
      <c r="I48" s="8"/>
      <c r="J48" s="9"/>
      <c r="K48" s="16" t="s">
        <v>47</v>
      </c>
      <c r="L48" s="8" t="s">
        <v>535</v>
      </c>
      <c r="M48" s="8" t="s">
        <v>604</v>
      </c>
      <c r="N48" s="8" t="s">
        <v>519</v>
      </c>
      <c r="O48" s="8" t="s">
        <v>519</v>
      </c>
      <c r="P48" s="8"/>
      <c r="Q48" s="8" t="s">
        <v>596</v>
      </c>
      <c r="R48" s="8"/>
      <c r="S48" s="8" t="s">
        <v>519</v>
      </c>
      <c r="T48" s="9"/>
      <c r="U48" s="16" t="s">
        <v>47</v>
      </c>
      <c r="V48" s="8" t="s">
        <v>517</v>
      </c>
      <c r="W48" s="8"/>
      <c r="X48" s="8" t="s">
        <v>606</v>
      </c>
      <c r="Y48" s="8" t="s">
        <v>526</v>
      </c>
      <c r="Z48" s="8" t="s">
        <v>526</v>
      </c>
      <c r="AA48" s="8" t="s">
        <v>598</v>
      </c>
      <c r="AB48" s="8"/>
      <c r="AC48" s="8"/>
      <c r="AD48" s="9"/>
      <c r="AE48" s="16" t="s">
        <v>47</v>
      </c>
      <c r="AF48" s="8" t="s">
        <v>527</v>
      </c>
      <c r="AG48" s="8" t="s">
        <v>593</v>
      </c>
      <c r="AH48" s="8"/>
      <c r="AI48" s="8"/>
      <c r="AJ48" s="8"/>
      <c r="AK48" s="8" t="s">
        <v>596</v>
      </c>
      <c r="AL48" s="8"/>
      <c r="AM48" s="8" t="s">
        <v>593</v>
      </c>
      <c r="AN48" s="9"/>
      <c r="AO48" s="8"/>
      <c r="AP48" s="8"/>
      <c r="AQ48" s="8"/>
      <c r="AR48" s="8"/>
      <c r="AS48" s="8"/>
      <c r="AT48" s="8"/>
      <c r="AU48" s="8"/>
      <c r="AV48" s="8"/>
      <c r="AW48" s="8"/>
      <c r="AX48" s="9"/>
      <c r="AY48" s="8"/>
    </row>
    <row r="49" ht="15.75" customHeight="1">
      <c r="A49" s="23" t="s">
        <v>54</v>
      </c>
      <c r="B49" s="24" t="s">
        <v>494</v>
      </c>
      <c r="C49" s="24" t="s">
        <v>596</v>
      </c>
      <c r="D49" s="24"/>
      <c r="E49" s="24"/>
      <c r="F49" s="24" t="s">
        <v>525</v>
      </c>
      <c r="G49" s="24"/>
      <c r="H49" s="24"/>
      <c r="I49" s="24"/>
      <c r="J49" s="25"/>
      <c r="K49" s="23" t="s">
        <v>54</v>
      </c>
      <c r="L49" s="24" t="s">
        <v>535</v>
      </c>
      <c r="M49" s="24" t="s">
        <v>596</v>
      </c>
      <c r="N49" s="24"/>
      <c r="O49" s="24"/>
      <c r="P49" s="24" t="s">
        <v>525</v>
      </c>
      <c r="Q49" s="24"/>
      <c r="R49" s="24"/>
      <c r="S49" s="24"/>
      <c r="T49" s="25"/>
      <c r="U49" s="23" t="s">
        <v>54</v>
      </c>
      <c r="V49" s="24" t="s">
        <v>517</v>
      </c>
      <c r="W49" s="24" t="s">
        <v>522</v>
      </c>
      <c r="X49" s="24" t="s">
        <v>526</v>
      </c>
      <c r="Y49" s="24" t="s">
        <v>598</v>
      </c>
      <c r="Z49" s="24" t="s">
        <v>611</v>
      </c>
      <c r="AA49" s="24"/>
      <c r="AB49" s="24"/>
      <c r="AC49" s="24"/>
      <c r="AD49" s="25"/>
      <c r="AE49" s="23" t="s">
        <v>54</v>
      </c>
      <c r="AF49" s="24" t="s">
        <v>527</v>
      </c>
      <c r="AG49" s="24" t="s">
        <v>596</v>
      </c>
      <c r="AH49" s="24"/>
      <c r="AI49" s="24"/>
      <c r="AJ49" s="24" t="s">
        <v>611</v>
      </c>
      <c r="AK49" s="24"/>
      <c r="AL49" s="24"/>
      <c r="AM49" s="24"/>
      <c r="AN49" s="25"/>
      <c r="AO49" s="24"/>
      <c r="AP49" s="24"/>
      <c r="AQ49" s="24"/>
      <c r="AR49" s="24"/>
      <c r="AS49" s="24"/>
      <c r="AT49" s="24"/>
      <c r="AU49" s="24"/>
      <c r="AV49" s="24"/>
      <c r="AW49" s="24"/>
      <c r="AX49" s="25"/>
      <c r="AY49" s="24"/>
    </row>
    <row r="50" ht="15.75" customHeight="1">
      <c r="A50" s="8"/>
      <c r="B50" s="8"/>
      <c r="C50" s="8"/>
      <c r="D50" s="8"/>
      <c r="E50" s="8"/>
      <c r="F50" s="8"/>
      <c r="G50" s="8"/>
      <c r="H50" s="8"/>
      <c r="I50" s="8"/>
      <c r="J50" s="9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51.86"/>
    <col customWidth="1" min="2" max="3" width="15.86"/>
    <col customWidth="1" min="4" max="4" width="33.14"/>
    <col customWidth="1" min="5" max="5" width="31.57"/>
    <col customWidth="1" min="6" max="7" width="36.14"/>
    <col customWidth="1" min="8" max="8" width="52.29"/>
    <col customWidth="1" min="9" max="9" width="26.0"/>
    <col customWidth="1" min="10" max="10" width="29.71"/>
    <col customWidth="1" min="11" max="12" width="15.86"/>
    <col customWidth="1" min="13" max="13" width="20.14"/>
    <col customWidth="1" min="14" max="16" width="19.43"/>
    <col customWidth="1" min="17" max="17" width="17.43"/>
    <col customWidth="1" min="18" max="18" width="29.71"/>
    <col customWidth="1" min="19" max="19" width="19.43"/>
    <col customWidth="1" min="20" max="20" width="23.29"/>
    <col customWidth="1" min="21" max="22" width="37.29"/>
    <col customWidth="1" min="23" max="23" width="19.86"/>
    <col customWidth="1" min="24" max="25" width="20.14"/>
    <col customWidth="1" min="26" max="27" width="17.86"/>
    <col customWidth="1" min="28" max="30" width="8.71"/>
  </cols>
  <sheetData>
    <row r="1">
      <c r="A1" s="1" t="s">
        <v>528</v>
      </c>
      <c r="B1" s="1" t="s">
        <v>529</v>
      </c>
      <c r="C1" s="1" t="s">
        <v>530</v>
      </c>
      <c r="D1" s="1" t="s">
        <v>531</v>
      </c>
      <c r="E1" s="1" t="s">
        <v>532</v>
      </c>
      <c r="F1" s="1" t="s">
        <v>533</v>
      </c>
      <c r="G1" s="1" t="s">
        <v>534</v>
      </c>
      <c r="H1" s="1" t="s">
        <v>536</v>
      </c>
      <c r="I1" s="1" t="s">
        <v>537</v>
      </c>
      <c r="J1" s="1" t="s">
        <v>538</v>
      </c>
      <c r="K1" s="1" t="s">
        <v>539</v>
      </c>
      <c r="L1" s="1" t="s">
        <v>540</v>
      </c>
      <c r="M1" s="1" t="s">
        <v>541</v>
      </c>
      <c r="N1" s="1" t="s">
        <v>542</v>
      </c>
      <c r="O1" s="1" t="s">
        <v>543</v>
      </c>
      <c r="P1" s="1" t="s">
        <v>544</v>
      </c>
      <c r="Q1" s="1" t="s">
        <v>545</v>
      </c>
      <c r="R1" s="1" t="s">
        <v>546</v>
      </c>
      <c r="S1" s="1" t="s">
        <v>1</v>
      </c>
      <c r="T1" s="1" t="s">
        <v>547</v>
      </c>
      <c r="U1" s="1" t="s">
        <v>548</v>
      </c>
      <c r="V1" s="1" t="s">
        <v>549</v>
      </c>
      <c r="W1" s="1" t="s">
        <v>550</v>
      </c>
      <c r="X1" s="1" t="s">
        <v>551</v>
      </c>
      <c r="Y1" s="1" t="s">
        <v>552</v>
      </c>
      <c r="Z1" s="1" t="s">
        <v>553</v>
      </c>
      <c r="AA1" s="1" t="s">
        <v>554</v>
      </c>
      <c r="AB1" s="1" t="s">
        <v>555</v>
      </c>
      <c r="AC1" s="1" t="s">
        <v>556</v>
      </c>
      <c r="AD1" s="1" t="s">
        <v>557</v>
      </c>
    </row>
    <row r="2">
      <c r="A2" t="s">
        <v>196</v>
      </c>
      <c r="B2" t="s">
        <v>143</v>
      </c>
      <c r="C2" t="s">
        <v>298</v>
      </c>
      <c r="D2" t="s">
        <v>558</v>
      </c>
      <c r="E2" t="s">
        <v>559</v>
      </c>
      <c r="F2" t="s">
        <v>560</v>
      </c>
      <c r="G2" t="s">
        <v>252</v>
      </c>
      <c r="H2" t="s">
        <v>561</v>
      </c>
      <c r="I2" t="s">
        <v>66</v>
      </c>
      <c r="J2" t="s">
        <v>66</v>
      </c>
      <c r="K2" t="s">
        <v>137</v>
      </c>
      <c r="L2" t="s">
        <v>176</v>
      </c>
      <c r="M2" t="s">
        <v>98</v>
      </c>
      <c r="N2" t="s">
        <v>168</v>
      </c>
      <c r="O2" t="s">
        <v>197</v>
      </c>
      <c r="P2" t="s">
        <v>339</v>
      </c>
      <c r="Q2" t="s">
        <v>234</v>
      </c>
      <c r="R2" t="s">
        <v>562</v>
      </c>
      <c r="S2" t="s">
        <v>1</v>
      </c>
      <c r="T2" t="s">
        <v>26</v>
      </c>
      <c r="U2" t="s">
        <v>563</v>
      </c>
      <c r="V2" t="s">
        <v>563</v>
      </c>
      <c r="W2" t="s">
        <v>550</v>
      </c>
      <c r="X2" t="s">
        <v>551</v>
      </c>
      <c r="Y2" t="s">
        <v>562</v>
      </c>
      <c r="Z2" t="s">
        <v>42</v>
      </c>
      <c r="AA2" t="s">
        <v>529</v>
      </c>
      <c r="AB2" t="s">
        <v>564</v>
      </c>
      <c r="AC2" t="s">
        <v>139</v>
      </c>
      <c r="AD2">
        <v>15.0</v>
      </c>
    </row>
    <row r="3">
      <c r="A3" t="s">
        <v>219</v>
      </c>
      <c r="B3" t="s">
        <v>298</v>
      </c>
      <c r="C3" t="s">
        <v>355</v>
      </c>
      <c r="D3" t="s">
        <v>565</v>
      </c>
      <c r="F3" t="s">
        <v>566</v>
      </c>
      <c r="G3" t="s">
        <v>360</v>
      </c>
      <c r="H3" t="s">
        <v>567</v>
      </c>
      <c r="I3" t="s">
        <v>61</v>
      </c>
      <c r="J3" t="s">
        <v>61</v>
      </c>
      <c r="K3" t="s">
        <v>328</v>
      </c>
      <c r="L3" t="s">
        <v>72</v>
      </c>
      <c r="M3" t="s">
        <v>562</v>
      </c>
      <c r="N3" t="s">
        <v>98</v>
      </c>
      <c r="P3" t="s">
        <v>27</v>
      </c>
      <c r="R3" t="s">
        <v>17</v>
      </c>
      <c r="S3" t="s">
        <v>146</v>
      </c>
      <c r="T3" t="s">
        <v>27</v>
      </c>
      <c r="U3" t="s">
        <v>568</v>
      </c>
      <c r="V3" t="s">
        <v>568</v>
      </c>
      <c r="Y3" t="s">
        <v>17</v>
      </c>
      <c r="Z3" t="s">
        <v>48</v>
      </c>
      <c r="AA3" t="s">
        <v>551</v>
      </c>
      <c r="AB3" t="s">
        <v>569</v>
      </c>
      <c r="AC3" t="s">
        <v>148</v>
      </c>
      <c r="AD3">
        <v>15.0</v>
      </c>
    </row>
    <row r="4">
      <c r="A4" t="s">
        <v>27</v>
      </c>
      <c r="C4" t="s">
        <v>143</v>
      </c>
      <c r="D4" t="s">
        <v>570</v>
      </c>
      <c r="F4" t="s">
        <v>571</v>
      </c>
      <c r="G4" t="s">
        <v>156</v>
      </c>
      <c r="H4" t="s">
        <v>355</v>
      </c>
      <c r="I4" t="s">
        <v>201</v>
      </c>
      <c r="J4" t="s">
        <v>27</v>
      </c>
      <c r="K4" t="s">
        <v>25</v>
      </c>
      <c r="L4" t="s">
        <v>168</v>
      </c>
      <c r="M4" t="s">
        <v>118</v>
      </c>
      <c r="N4" t="s">
        <v>562</v>
      </c>
      <c r="P4" t="s">
        <v>123</v>
      </c>
      <c r="R4" t="s">
        <v>25</v>
      </c>
      <c r="T4" t="s">
        <v>116</v>
      </c>
      <c r="U4" t="s">
        <v>572</v>
      </c>
      <c r="V4" t="s">
        <v>572</v>
      </c>
      <c r="Y4" t="s">
        <v>25</v>
      </c>
      <c r="Z4" t="s">
        <v>55</v>
      </c>
      <c r="AA4" t="s">
        <v>541</v>
      </c>
      <c r="AB4" t="s">
        <v>573</v>
      </c>
      <c r="AC4" t="s">
        <v>150</v>
      </c>
      <c r="AD4">
        <v>15.0</v>
      </c>
    </row>
    <row r="5">
      <c r="A5" t="s">
        <v>187</v>
      </c>
      <c r="D5" t="s">
        <v>574</v>
      </c>
      <c r="F5" t="s">
        <v>575</v>
      </c>
      <c r="H5" t="s">
        <v>146</v>
      </c>
      <c r="I5" t="s">
        <v>321</v>
      </c>
      <c r="J5" t="s">
        <v>71</v>
      </c>
      <c r="M5" t="s">
        <v>59</v>
      </c>
      <c r="N5" t="s">
        <v>59</v>
      </c>
      <c r="P5" t="s">
        <v>220</v>
      </c>
      <c r="R5" t="s">
        <v>26</v>
      </c>
      <c r="T5" t="s">
        <v>363</v>
      </c>
      <c r="U5" t="s">
        <v>576</v>
      </c>
      <c r="V5" t="s">
        <v>576</v>
      </c>
      <c r="Y5" t="s">
        <v>26</v>
      </c>
      <c r="Z5" t="s">
        <v>56</v>
      </c>
      <c r="AA5" t="s">
        <v>577</v>
      </c>
      <c r="AB5" t="s">
        <v>578</v>
      </c>
      <c r="AC5" t="s">
        <v>154</v>
      </c>
      <c r="AD5">
        <v>15.0</v>
      </c>
    </row>
    <row r="6">
      <c r="A6" t="s">
        <v>344</v>
      </c>
      <c r="F6" t="s">
        <v>579</v>
      </c>
      <c r="H6" t="s">
        <v>580</v>
      </c>
      <c r="I6" t="s">
        <v>339</v>
      </c>
      <c r="J6" t="s">
        <v>110</v>
      </c>
      <c r="N6" t="s">
        <v>118</v>
      </c>
      <c r="P6" t="s">
        <v>248</v>
      </c>
      <c r="R6" t="s">
        <v>27</v>
      </c>
      <c r="U6" s="11" t="s">
        <v>581</v>
      </c>
      <c r="V6" s="11" t="s">
        <v>581</v>
      </c>
      <c r="Y6" t="s">
        <v>27</v>
      </c>
      <c r="Z6" t="s">
        <v>58</v>
      </c>
      <c r="AA6" t="s">
        <v>540</v>
      </c>
      <c r="AB6" t="s">
        <v>582</v>
      </c>
      <c r="AC6" t="s">
        <v>159</v>
      </c>
      <c r="AD6">
        <v>15.0</v>
      </c>
    </row>
    <row r="7">
      <c r="A7" t="s">
        <v>367</v>
      </c>
      <c r="F7" t="s">
        <v>583</v>
      </c>
      <c r="I7" t="s">
        <v>123</v>
      </c>
      <c r="J7" t="s">
        <v>151</v>
      </c>
      <c r="P7" t="s">
        <v>216</v>
      </c>
      <c r="R7" t="s">
        <v>59</v>
      </c>
      <c r="U7" t="s">
        <v>584</v>
      </c>
      <c r="V7" t="s">
        <v>584</v>
      </c>
      <c r="Y7" t="s">
        <v>59</v>
      </c>
      <c r="Z7" t="s">
        <v>60</v>
      </c>
      <c r="AA7" t="s">
        <v>534</v>
      </c>
      <c r="AB7" t="s">
        <v>585</v>
      </c>
      <c r="AC7" t="s">
        <v>162</v>
      </c>
      <c r="AD7">
        <v>15.0</v>
      </c>
    </row>
    <row r="8">
      <c r="A8" t="s">
        <v>350</v>
      </c>
      <c r="I8" t="s">
        <v>27</v>
      </c>
      <c r="J8" t="s">
        <v>164</v>
      </c>
      <c r="P8" t="s">
        <v>336</v>
      </c>
      <c r="R8" t="s">
        <v>61</v>
      </c>
      <c r="U8" t="s">
        <v>586</v>
      </c>
      <c r="V8" t="s">
        <v>586</v>
      </c>
      <c r="Y8" t="s">
        <v>61</v>
      </c>
      <c r="Z8" t="s">
        <v>65</v>
      </c>
      <c r="AA8" t="s">
        <v>538</v>
      </c>
      <c r="AB8" t="s">
        <v>587</v>
      </c>
      <c r="AC8" t="s">
        <v>165</v>
      </c>
      <c r="AD8">
        <v>15.0</v>
      </c>
    </row>
    <row r="9">
      <c r="A9" t="s">
        <v>210</v>
      </c>
      <c r="I9" t="s">
        <v>71</v>
      </c>
      <c r="J9" t="s">
        <v>248</v>
      </c>
      <c r="R9" t="s">
        <v>66</v>
      </c>
      <c r="U9" t="s">
        <v>588</v>
      </c>
      <c r="V9" t="s">
        <v>588</v>
      </c>
      <c r="Y9" t="s">
        <v>66</v>
      </c>
      <c r="Z9" t="s">
        <v>73</v>
      </c>
      <c r="AA9" t="s">
        <v>537</v>
      </c>
      <c r="AB9" t="s">
        <v>589</v>
      </c>
      <c r="AC9" t="s">
        <v>170</v>
      </c>
      <c r="AD9">
        <v>15.0</v>
      </c>
    </row>
    <row r="10">
      <c r="A10" t="s">
        <v>146</v>
      </c>
      <c r="I10" t="s">
        <v>110</v>
      </c>
      <c r="J10" t="s">
        <v>201</v>
      </c>
      <c r="R10" t="s">
        <v>71</v>
      </c>
      <c r="U10" t="s">
        <v>590</v>
      </c>
      <c r="V10" t="s">
        <v>590</v>
      </c>
      <c r="Y10" t="s">
        <v>71</v>
      </c>
      <c r="Z10" t="s">
        <v>76</v>
      </c>
      <c r="AA10" t="s">
        <v>536</v>
      </c>
      <c r="AB10" t="s">
        <v>592</v>
      </c>
      <c r="AC10" t="s">
        <v>174</v>
      </c>
      <c r="AD10">
        <v>15.0</v>
      </c>
    </row>
    <row r="11">
      <c r="I11" t="s">
        <v>151</v>
      </c>
      <c r="J11" t="s">
        <v>17</v>
      </c>
      <c r="R11" t="s">
        <v>72</v>
      </c>
      <c r="U11" t="s">
        <v>594</v>
      </c>
      <c r="V11" t="s">
        <v>594</v>
      </c>
      <c r="Y11" t="s">
        <v>72</v>
      </c>
      <c r="Z11" t="s">
        <v>81</v>
      </c>
      <c r="AA11" t="s">
        <v>542</v>
      </c>
      <c r="AB11" t="s">
        <v>595</v>
      </c>
      <c r="AC11" t="s">
        <v>179</v>
      </c>
      <c r="AD11">
        <v>15.0</v>
      </c>
    </row>
    <row r="12">
      <c r="I12" t="s">
        <v>164</v>
      </c>
      <c r="J12" t="s">
        <v>339</v>
      </c>
      <c r="Q12" s="1"/>
      <c r="R12" t="s">
        <v>82</v>
      </c>
      <c r="U12" t="s">
        <v>597</v>
      </c>
      <c r="V12" t="s">
        <v>597</v>
      </c>
      <c r="Y12" t="s">
        <v>82</v>
      </c>
      <c r="Z12" t="s">
        <v>96</v>
      </c>
      <c r="AA12" t="s">
        <v>547</v>
      </c>
      <c r="AB12" t="s">
        <v>599</v>
      </c>
      <c r="AC12" t="s">
        <v>181</v>
      </c>
      <c r="AD12">
        <v>14.0</v>
      </c>
    </row>
    <row r="13">
      <c r="I13" t="s">
        <v>201</v>
      </c>
      <c r="J13" t="s">
        <v>321</v>
      </c>
      <c r="R13" t="s">
        <v>98</v>
      </c>
      <c r="U13" t="s">
        <v>600</v>
      </c>
      <c r="V13" t="s">
        <v>600</v>
      </c>
      <c r="Y13" t="s">
        <v>98</v>
      </c>
      <c r="Z13" t="s">
        <v>109</v>
      </c>
      <c r="AA13" t="s">
        <v>550</v>
      </c>
      <c r="AB13" t="s">
        <v>550</v>
      </c>
      <c r="AC13" t="s">
        <v>184</v>
      </c>
      <c r="AD13">
        <v>14.0</v>
      </c>
    </row>
    <row r="14">
      <c r="A14" s="1"/>
      <c r="B14" s="1"/>
      <c r="C14" s="1"/>
      <c r="D14" s="1"/>
      <c r="E14" s="1"/>
      <c r="F14" s="1"/>
      <c r="G14" s="1"/>
      <c r="H14" s="1"/>
      <c r="I14" t="s">
        <v>17</v>
      </c>
      <c r="J14" s="1"/>
      <c r="K14" s="1"/>
      <c r="L14" s="1"/>
      <c r="R14" t="s">
        <v>110</v>
      </c>
      <c r="V14" s="11"/>
      <c r="Y14" t="s">
        <v>110</v>
      </c>
      <c r="Z14" t="s">
        <v>114</v>
      </c>
      <c r="AA14" t="s">
        <v>544</v>
      </c>
      <c r="AB14" t="s">
        <v>601</v>
      </c>
      <c r="AC14" t="s">
        <v>185</v>
      </c>
      <c r="AD14">
        <v>14.0</v>
      </c>
    </row>
    <row r="15">
      <c r="N15" s="1"/>
      <c r="O15" s="1"/>
      <c r="P15" s="1"/>
      <c r="Q15" s="1"/>
      <c r="R15" t="s">
        <v>116</v>
      </c>
      <c r="Y15" t="s">
        <v>116</v>
      </c>
      <c r="Z15" t="s">
        <v>117</v>
      </c>
      <c r="AA15" t="s">
        <v>1</v>
      </c>
      <c r="AB15" t="s">
        <v>602</v>
      </c>
      <c r="AC15" t="s">
        <v>188</v>
      </c>
      <c r="AD15">
        <v>14.0</v>
      </c>
    </row>
    <row r="16">
      <c r="R16" t="s">
        <v>118</v>
      </c>
      <c r="Y16" t="s">
        <v>118</v>
      </c>
      <c r="Z16" t="s">
        <v>122</v>
      </c>
      <c r="AA16" t="s">
        <v>528</v>
      </c>
      <c r="AB16" t="s">
        <v>603</v>
      </c>
      <c r="AC16" t="s">
        <v>192</v>
      </c>
      <c r="AD16">
        <v>14.0</v>
      </c>
    </row>
    <row r="17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R17" t="s">
        <v>123</v>
      </c>
      <c r="Y17" t="s">
        <v>123</v>
      </c>
      <c r="Z17" t="s">
        <v>126</v>
      </c>
      <c r="AA17" t="s">
        <v>546</v>
      </c>
      <c r="AB17" t="s">
        <v>605</v>
      </c>
      <c r="AC17" t="s">
        <v>194</v>
      </c>
      <c r="AD17">
        <v>13.0</v>
      </c>
    </row>
    <row r="18">
      <c r="R18" t="s">
        <v>127</v>
      </c>
      <c r="Y18" t="s">
        <v>127</v>
      </c>
      <c r="Z18" t="s">
        <v>135</v>
      </c>
      <c r="AA18" t="s">
        <v>545</v>
      </c>
      <c r="AB18" t="s">
        <v>607</v>
      </c>
      <c r="AC18" t="s">
        <v>199</v>
      </c>
      <c r="AD18">
        <v>13.0</v>
      </c>
    </row>
    <row r="19">
      <c r="M19" s="1"/>
      <c r="R19" t="s">
        <v>137</v>
      </c>
      <c r="Y19" t="s">
        <v>137</v>
      </c>
      <c r="Z19" t="s">
        <v>142</v>
      </c>
      <c r="AA19" t="s">
        <v>539</v>
      </c>
      <c r="AB19" t="s">
        <v>608</v>
      </c>
      <c r="AC19" t="s">
        <v>203</v>
      </c>
      <c r="AD19">
        <v>13.0</v>
      </c>
    </row>
    <row r="20">
      <c r="R20" t="s">
        <v>143</v>
      </c>
      <c r="Y20" t="s">
        <v>143</v>
      </c>
      <c r="Z20" t="s">
        <v>149</v>
      </c>
      <c r="AA20" t="s">
        <v>549</v>
      </c>
      <c r="AB20" t="s">
        <v>609</v>
      </c>
      <c r="AC20" t="s">
        <v>209</v>
      </c>
      <c r="AD20">
        <v>13.0</v>
      </c>
    </row>
    <row r="21" ht="15.75" customHeight="1">
      <c r="R21" t="s">
        <v>151</v>
      </c>
      <c r="Y21" t="s">
        <v>151</v>
      </c>
      <c r="Z21" t="s">
        <v>155</v>
      </c>
      <c r="AA21" t="s">
        <v>533</v>
      </c>
      <c r="AB21" t="s">
        <v>610</v>
      </c>
      <c r="AC21" t="s">
        <v>212</v>
      </c>
      <c r="AD21">
        <v>13.0</v>
      </c>
    </row>
    <row r="22" ht="15.75" customHeight="1">
      <c r="A22" s="1"/>
      <c r="F22" s="11"/>
      <c r="G22" s="11"/>
      <c r="R22" t="s">
        <v>156</v>
      </c>
      <c r="Y22" t="s">
        <v>156</v>
      </c>
      <c r="Z22" t="s">
        <v>172</v>
      </c>
      <c r="AA22" t="s">
        <v>548</v>
      </c>
      <c r="AB22" t="s">
        <v>612</v>
      </c>
      <c r="AC22" t="s">
        <v>214</v>
      </c>
      <c r="AD22">
        <v>13.0</v>
      </c>
    </row>
    <row r="23" ht="15.75" customHeight="1">
      <c r="R23" t="s">
        <v>176</v>
      </c>
      <c r="Y23" t="s">
        <v>176</v>
      </c>
      <c r="Z23" t="s">
        <v>186</v>
      </c>
      <c r="AA23" t="s">
        <v>543</v>
      </c>
      <c r="AB23" t="s">
        <v>613</v>
      </c>
      <c r="AC23" t="s">
        <v>217</v>
      </c>
      <c r="AD23">
        <v>13.0</v>
      </c>
    </row>
    <row r="24" ht="15.75" customHeight="1">
      <c r="R24" t="s">
        <v>187</v>
      </c>
      <c r="Y24" t="s">
        <v>187</v>
      </c>
      <c r="Z24" t="s">
        <v>195</v>
      </c>
      <c r="AA24" s="11" t="s">
        <v>532</v>
      </c>
      <c r="AB24" s="11" t="s">
        <v>614</v>
      </c>
      <c r="AC24" t="s">
        <v>221</v>
      </c>
      <c r="AD24">
        <v>13.0</v>
      </c>
    </row>
    <row r="25" ht="15.75" customHeight="1">
      <c r="R25" t="s">
        <v>197</v>
      </c>
      <c r="Y25" t="s">
        <v>197</v>
      </c>
      <c r="Z25" t="s">
        <v>208</v>
      </c>
      <c r="AA25" s="11" t="s">
        <v>531</v>
      </c>
      <c r="AB25" s="11" t="s">
        <v>615</v>
      </c>
      <c r="AC25" t="s">
        <v>225</v>
      </c>
      <c r="AD25">
        <v>13.0</v>
      </c>
    </row>
    <row r="26" ht="15.75" customHeight="1">
      <c r="R26" t="s">
        <v>210</v>
      </c>
      <c r="Y26" t="s">
        <v>210</v>
      </c>
      <c r="Z26" t="s">
        <v>218</v>
      </c>
      <c r="AA26" s="11" t="s">
        <v>530</v>
      </c>
      <c r="AB26" s="11" t="s">
        <v>616</v>
      </c>
      <c r="AC26" t="s">
        <v>226</v>
      </c>
      <c r="AD26">
        <v>13.0</v>
      </c>
    </row>
    <row r="27" ht="15.75" customHeight="1">
      <c r="R27" t="s">
        <v>220</v>
      </c>
      <c r="Y27" t="s">
        <v>220</v>
      </c>
      <c r="Z27" t="s">
        <v>227</v>
      </c>
      <c r="AA27" s="11" t="s">
        <v>29</v>
      </c>
      <c r="AC27" t="s">
        <v>230</v>
      </c>
      <c r="AD27">
        <v>9.0</v>
      </c>
    </row>
    <row r="28" ht="15.75" customHeight="1">
      <c r="R28" t="s">
        <v>164</v>
      </c>
      <c r="Y28" t="s">
        <v>164</v>
      </c>
      <c r="Z28" t="s">
        <v>232</v>
      </c>
      <c r="AC28" t="s">
        <v>231</v>
      </c>
      <c r="AD28">
        <v>9.0</v>
      </c>
    </row>
    <row r="29" ht="15.75" customHeight="1">
      <c r="R29" t="s">
        <v>234</v>
      </c>
      <c r="Y29" t="s">
        <v>234</v>
      </c>
      <c r="Z29" t="s">
        <v>246</v>
      </c>
      <c r="AC29" t="s">
        <v>235</v>
      </c>
      <c r="AD29">
        <v>9.0</v>
      </c>
    </row>
    <row r="30" ht="15.75" customHeight="1">
      <c r="R30" t="s">
        <v>248</v>
      </c>
      <c r="Y30" t="s">
        <v>248</v>
      </c>
      <c r="Z30" t="s">
        <v>255</v>
      </c>
      <c r="AC30" t="s">
        <v>239</v>
      </c>
      <c r="AD30">
        <v>9.0</v>
      </c>
    </row>
    <row r="31" ht="15.75" customHeight="1">
      <c r="R31" t="s">
        <v>233</v>
      </c>
      <c r="Y31" t="s">
        <v>233</v>
      </c>
      <c r="Z31" t="s">
        <v>260</v>
      </c>
      <c r="AC31" t="s">
        <v>242</v>
      </c>
      <c r="AD31">
        <v>9.0</v>
      </c>
    </row>
    <row r="32" ht="15.75" customHeight="1">
      <c r="R32" t="s">
        <v>168</v>
      </c>
      <c r="Y32" t="s">
        <v>168</v>
      </c>
      <c r="Z32" t="s">
        <v>246</v>
      </c>
      <c r="AC32" t="s">
        <v>245</v>
      </c>
      <c r="AD32">
        <v>9.0</v>
      </c>
    </row>
    <row r="33" ht="15.75" customHeight="1">
      <c r="R33" t="s">
        <v>219</v>
      </c>
      <c r="Y33" t="s">
        <v>219</v>
      </c>
      <c r="Z33" t="s">
        <v>275</v>
      </c>
      <c r="AC33" t="s">
        <v>249</v>
      </c>
      <c r="AD33">
        <v>9.0</v>
      </c>
    </row>
    <row r="34" ht="15.75" customHeight="1">
      <c r="R34" t="s">
        <v>216</v>
      </c>
      <c r="Y34" t="s">
        <v>216</v>
      </c>
      <c r="Z34" t="s">
        <v>287</v>
      </c>
      <c r="AC34" t="s">
        <v>251</v>
      </c>
      <c r="AD34">
        <v>9.0</v>
      </c>
    </row>
    <row r="35" ht="15.75" customHeight="1">
      <c r="R35" t="s">
        <v>196</v>
      </c>
      <c r="Y35" t="s">
        <v>196</v>
      </c>
      <c r="Z35" t="s">
        <v>293</v>
      </c>
      <c r="AC35" t="s">
        <v>29</v>
      </c>
    </row>
    <row r="36" ht="15.75" customHeight="1">
      <c r="R36" t="s">
        <v>252</v>
      </c>
      <c r="Y36" t="s">
        <v>252</v>
      </c>
      <c r="Z36" t="s">
        <v>297</v>
      </c>
    </row>
    <row r="37" ht="15.75" customHeight="1">
      <c r="R37" t="s">
        <v>298</v>
      </c>
      <c r="Y37" t="s">
        <v>298</v>
      </c>
      <c r="Z37" t="s">
        <v>304</v>
      </c>
    </row>
    <row r="38" ht="15.75" customHeight="1">
      <c r="R38" t="s">
        <v>146</v>
      </c>
      <c r="Y38" t="s">
        <v>146</v>
      </c>
      <c r="Z38" t="s">
        <v>308</v>
      </c>
    </row>
    <row r="39" ht="15.75" customHeight="1">
      <c r="R39" t="s">
        <v>201</v>
      </c>
      <c r="Y39" t="s">
        <v>201</v>
      </c>
      <c r="Z39" t="s">
        <v>312</v>
      </c>
    </row>
    <row r="40" ht="15.75" customHeight="1">
      <c r="R40" t="s">
        <v>247</v>
      </c>
      <c r="Y40" t="s">
        <v>247</v>
      </c>
      <c r="Z40" t="s">
        <v>319</v>
      </c>
    </row>
    <row r="41" ht="15.75" customHeight="1">
      <c r="R41" t="s">
        <v>321</v>
      </c>
      <c r="Y41" t="s">
        <v>321</v>
      </c>
      <c r="Z41" t="s">
        <v>326</v>
      </c>
    </row>
    <row r="42" ht="15.75" customHeight="1">
      <c r="R42" t="s">
        <v>328</v>
      </c>
      <c r="Y42" t="s">
        <v>328</v>
      </c>
      <c r="Z42" t="s">
        <v>332</v>
      </c>
    </row>
    <row r="43" ht="15.75" customHeight="1">
      <c r="R43" t="s">
        <v>336</v>
      </c>
      <c r="Y43" t="s">
        <v>333</v>
      </c>
      <c r="Z43" t="s">
        <v>335</v>
      </c>
    </row>
    <row r="44" ht="15.75" customHeight="1">
      <c r="R44" t="s">
        <v>339</v>
      </c>
      <c r="Y44" t="s">
        <v>336</v>
      </c>
      <c r="Z44" t="s">
        <v>338</v>
      </c>
    </row>
    <row r="45" ht="15.75" customHeight="1">
      <c r="R45" t="s">
        <v>344</v>
      </c>
      <c r="Y45" t="s">
        <v>339</v>
      </c>
      <c r="Z45" t="s">
        <v>343</v>
      </c>
    </row>
    <row r="46" ht="15.75" customHeight="1">
      <c r="R46" t="s">
        <v>350</v>
      </c>
      <c r="Y46" t="s">
        <v>344</v>
      </c>
      <c r="Z46" t="s">
        <v>348</v>
      </c>
    </row>
    <row r="47" ht="15.75" customHeight="1">
      <c r="R47" t="s">
        <v>355</v>
      </c>
      <c r="Y47" t="s">
        <v>350</v>
      </c>
      <c r="Z47" t="s">
        <v>354</v>
      </c>
    </row>
    <row r="48" ht="15.75" customHeight="1">
      <c r="R48" t="s">
        <v>360</v>
      </c>
      <c r="Y48" t="s">
        <v>355</v>
      </c>
      <c r="Z48" t="s">
        <v>359</v>
      </c>
    </row>
    <row r="49" ht="15.75" customHeight="1">
      <c r="R49" t="s">
        <v>363</v>
      </c>
      <c r="Y49" t="s">
        <v>360</v>
      </c>
      <c r="Z49" t="s">
        <v>362</v>
      </c>
    </row>
    <row r="50" ht="15.75" customHeight="1">
      <c r="R50" t="s">
        <v>367</v>
      </c>
      <c r="Y50" t="s">
        <v>363</v>
      </c>
      <c r="Z50" t="s">
        <v>366</v>
      </c>
    </row>
    <row r="51" ht="15.75" customHeight="1">
      <c r="R51" t="s">
        <v>371</v>
      </c>
      <c r="Y51" t="s">
        <v>367</v>
      </c>
      <c r="Z51" t="s">
        <v>370</v>
      </c>
    </row>
    <row r="52" ht="15.75" customHeight="1">
      <c r="Y52" t="s">
        <v>371</v>
      </c>
      <c r="Z52" t="s">
        <v>372</v>
      </c>
    </row>
    <row r="53" ht="15.75" customHeight="1">
      <c r="Y53" t="s">
        <v>1</v>
      </c>
      <c r="Z53" t="s">
        <v>602</v>
      </c>
    </row>
    <row r="54" ht="15.75" customHeight="1">
      <c r="Y54" t="s">
        <v>551</v>
      </c>
      <c r="Z54" t="s">
        <v>569</v>
      </c>
    </row>
    <row r="55" ht="15.75" customHeight="1">
      <c r="Y55" t="s">
        <v>550</v>
      </c>
      <c r="Z55" t="s">
        <v>550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ErrorMessage="1" sqref="R2:S2 Y2 A54">
      <formula1>INDIRECT($A$44)</formula1>
    </dataValidation>
  </dataValidations>
  <printOptions/>
  <pageMargins bottom="0.75" footer="0.0" header="0.0" left="0.7" right="0.7" top="0.75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31.71"/>
    <col customWidth="1" min="3" max="3" width="27.14"/>
    <col customWidth="1" min="4" max="4" width="24.57"/>
    <col customWidth="1" min="5" max="5" width="18.57"/>
    <col customWidth="1" min="6" max="6" width="15.57"/>
    <col customWidth="1" min="7" max="7" width="8.71"/>
    <col customWidth="1" min="8" max="8" width="16.57"/>
    <col customWidth="1" min="9" max="9" width="27.71"/>
    <col customWidth="1" min="10" max="10" width="17.0"/>
    <col customWidth="1" min="11" max="26" width="8.71"/>
  </cols>
  <sheetData>
    <row r="1">
      <c r="A1" s="2" t="s">
        <v>139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546</v>
      </c>
      <c r="C4" s="1" t="s">
        <v>29</v>
      </c>
      <c r="D4" s="1" t="s">
        <v>29</v>
      </c>
      <c r="E4" s="1" t="s">
        <v>29</v>
      </c>
      <c r="F4" s="1" t="s">
        <v>549</v>
      </c>
      <c r="G4" s="30"/>
      <c r="H4" s="1" t="s">
        <v>29</v>
      </c>
      <c r="I4" s="1" t="s">
        <v>548</v>
      </c>
      <c r="J4" s="1" t="s">
        <v>29</v>
      </c>
    </row>
    <row r="5">
      <c r="B5" t="str">
        <f t="shared" ref="B5:F5" si="1">VLOOKUP(B4,$A$26:$B$41,2,FALSE)</f>
        <v>Monidipa Mukherjee</v>
      </c>
      <c r="C5" t="str">
        <f t="shared" si="1"/>
        <v>-</v>
      </c>
      <c r="D5" s="11" t="str">
        <f t="shared" si="1"/>
        <v>-</v>
      </c>
      <c r="E5" s="11" t="str">
        <f t="shared" si="1"/>
        <v>-</v>
      </c>
      <c r="F5" s="11" t="str">
        <f t="shared" si="1"/>
        <v>Shely Das/Debarati Banerjee</v>
      </c>
      <c r="G5" s="30"/>
      <c r="H5" t="str">
        <f t="shared" ref="H5:J5" si="2">VLOOKUP(H4,$A$26:$B$41,2,FALSE)</f>
        <v>-</v>
      </c>
      <c r="I5" t="str">
        <f t="shared" si="2"/>
        <v>Rekha Shaw/Debarati Banerjee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534</v>
      </c>
      <c r="C8" s="31" t="s">
        <v>541</v>
      </c>
      <c r="D8" s="1" t="s">
        <v>29</v>
      </c>
      <c r="E8" s="1" t="s">
        <v>29</v>
      </c>
      <c r="F8" s="1" t="s">
        <v>549</v>
      </c>
      <c r="G8" s="30"/>
      <c r="H8" s="1" t="s">
        <v>29</v>
      </c>
      <c r="I8" s="1" t="s">
        <v>29</v>
      </c>
      <c r="J8" s="1" t="s">
        <v>543</v>
      </c>
    </row>
    <row r="9">
      <c r="B9" t="str">
        <f t="shared" ref="B9:F9" si="3">VLOOKUP(B8,$A$26:$B$41,2,FALSE)</f>
        <v>Monidipa Mukherjee</v>
      </c>
      <c r="C9" t="str">
        <f t="shared" si="3"/>
        <v>#N/A</v>
      </c>
      <c r="D9" t="str">
        <f t="shared" si="3"/>
        <v>-</v>
      </c>
      <c r="E9" t="str">
        <f t="shared" si="3"/>
        <v>-</v>
      </c>
      <c r="F9" t="str">
        <f t="shared" si="3"/>
        <v>Shely Das/Debarati Banerjee</v>
      </c>
      <c r="G9" s="30"/>
      <c r="H9" t="str">
        <f t="shared" ref="H9:J9" si="4">VLOOKUP(H8,$A$26:$B$41,2,FALSE)</f>
        <v>-</v>
      </c>
      <c r="I9" t="str">
        <f t="shared" si="4"/>
        <v>-</v>
      </c>
      <c r="J9" t="str">
        <f t="shared" si="4"/>
        <v>Peter Gomes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546</v>
      </c>
      <c r="C12" s="1" t="s">
        <v>29</v>
      </c>
      <c r="D12" s="1" t="s">
        <v>548</v>
      </c>
      <c r="E12" s="1" t="s">
        <v>29</v>
      </c>
      <c r="F12" s="1" t="s">
        <v>29</v>
      </c>
      <c r="G12" s="30"/>
      <c r="H12" s="1" t="s">
        <v>534</v>
      </c>
      <c r="I12" s="1" t="s">
        <v>29</v>
      </c>
      <c r="J12" s="1" t="s">
        <v>29</v>
      </c>
    </row>
    <row r="13">
      <c r="B13" t="str">
        <f t="shared" ref="B13:F13" si="5">VLOOKUP(B12,$A$26:$B$41,2,FALSE)</f>
        <v>Monidipa Mukherjee</v>
      </c>
      <c r="C13" t="str">
        <f t="shared" si="5"/>
        <v>-</v>
      </c>
      <c r="D13" t="str">
        <f t="shared" si="5"/>
        <v>Rekha Shaw/Debarati Banerjee</v>
      </c>
      <c r="E13" t="str">
        <f t="shared" si="5"/>
        <v>-</v>
      </c>
      <c r="F13" t="str">
        <f t="shared" si="5"/>
        <v>-</v>
      </c>
      <c r="G13" s="30"/>
      <c r="H13" t="str">
        <f t="shared" ref="H13:J13" si="6">VLOOKUP(H12,$A$26:$B$41,2,FALSE)</f>
        <v>Monidipa Mukherjee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534</v>
      </c>
      <c r="C16" s="1" t="s">
        <v>29</v>
      </c>
      <c r="D16" s="1" t="s">
        <v>549</v>
      </c>
      <c r="E16" s="1" t="s">
        <v>29</v>
      </c>
      <c r="F16" s="1" t="s">
        <v>29</v>
      </c>
      <c r="G16" s="30"/>
      <c r="H16" s="1" t="s">
        <v>29</v>
      </c>
      <c r="I16" s="1" t="s">
        <v>29</v>
      </c>
      <c r="J16" s="1" t="s">
        <v>29</v>
      </c>
    </row>
    <row r="17">
      <c r="B17" t="str">
        <f t="shared" ref="B17:F17" si="7">VLOOKUP(B16,$A$26:$B$41,2,FALSE)</f>
        <v>Monidipa Mukherjee</v>
      </c>
      <c r="C17" t="str">
        <f t="shared" si="7"/>
        <v>-</v>
      </c>
      <c r="D17" t="str">
        <f t="shared" si="7"/>
        <v>Shely Das/Debarati Banerjee</v>
      </c>
      <c r="E17" t="str">
        <f t="shared" si="7"/>
        <v>-</v>
      </c>
      <c r="F17" t="str">
        <f t="shared" si="7"/>
        <v>-</v>
      </c>
      <c r="G17" s="30"/>
      <c r="H17" t="str">
        <f t="shared" ref="H17:J17" si="8">VLOOKUP(H16,$A$26:$B$41,2,FALSE)</f>
        <v>-</v>
      </c>
      <c r="I17" t="str">
        <f t="shared" si="8"/>
        <v>-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546</v>
      </c>
      <c r="C20" s="1" t="s">
        <v>549</v>
      </c>
      <c r="D20" s="1" t="s">
        <v>29</v>
      </c>
      <c r="E20" s="1" t="s">
        <v>29</v>
      </c>
      <c r="F20" s="1" t="s">
        <v>29</v>
      </c>
      <c r="G20" s="30"/>
      <c r="H20" s="1" t="s">
        <v>29</v>
      </c>
      <c r="I20" s="1" t="s">
        <v>29</v>
      </c>
      <c r="J20" s="1" t="s">
        <v>29</v>
      </c>
    </row>
    <row r="21" ht="15.75" customHeight="1">
      <c r="B21" t="str">
        <f t="shared" ref="B21:F21" si="9">VLOOKUP(B20,$A$26:$B$41,2,FALSE)</f>
        <v>Monidipa Mukherjee</v>
      </c>
      <c r="C21" t="str">
        <f t="shared" si="9"/>
        <v>Shely Das/Debarati Banerjee</v>
      </c>
      <c r="D21" t="str">
        <f t="shared" si="9"/>
        <v>-</v>
      </c>
      <c r="E21" t="str">
        <f t="shared" si="9"/>
        <v>-</v>
      </c>
      <c r="F21" t="str">
        <f t="shared" si="9"/>
        <v>-</v>
      </c>
      <c r="G21" s="30"/>
      <c r="H21" t="str">
        <f t="shared" ref="H21:J21" si="10">VLOOKUP(H20,$A$26:$B$41,2,FALSE)</f>
        <v>-</v>
      </c>
      <c r="I21" t="str">
        <f t="shared" si="10"/>
        <v>-</v>
      </c>
      <c r="J21" t="str">
        <f t="shared" si="10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187</v>
      </c>
      <c r="C26">
        <v>5.0</v>
      </c>
      <c r="D26">
        <f t="shared" ref="D26:D40" si="11">$C26-COUNTIF($A$4:$J$21,$A26)</f>
        <v>5</v>
      </c>
    </row>
    <row r="27" ht="15.75" customHeight="1">
      <c r="A27" t="s">
        <v>538</v>
      </c>
      <c r="B27" t="s">
        <v>248</v>
      </c>
      <c r="C27">
        <v>4.0</v>
      </c>
      <c r="D27">
        <f t="shared" si="11"/>
        <v>4</v>
      </c>
    </row>
    <row r="28" ht="15.75" customHeight="1">
      <c r="A28" t="s">
        <v>537</v>
      </c>
      <c r="B28" t="s">
        <v>151</v>
      </c>
      <c r="C28">
        <v>4.0</v>
      </c>
      <c r="D28">
        <f t="shared" si="11"/>
        <v>4</v>
      </c>
    </row>
    <row r="29" ht="15.75" customHeight="1">
      <c r="A29" t="s">
        <v>542</v>
      </c>
      <c r="B29" t="s">
        <v>59</v>
      </c>
      <c r="C29">
        <v>4.0</v>
      </c>
      <c r="D29">
        <f t="shared" si="11"/>
        <v>4</v>
      </c>
    </row>
    <row r="30" ht="15.75" customHeight="1">
      <c r="A30" t="s">
        <v>549</v>
      </c>
      <c r="B30" t="s">
        <v>588</v>
      </c>
      <c r="C30">
        <v>4.0</v>
      </c>
      <c r="D30">
        <f t="shared" si="11"/>
        <v>0</v>
      </c>
    </row>
    <row r="31" ht="15.75" customHeight="1">
      <c r="A31" t="s">
        <v>534</v>
      </c>
      <c r="B31" t="s">
        <v>156</v>
      </c>
      <c r="C31">
        <v>3.0</v>
      </c>
      <c r="D31">
        <f t="shared" si="11"/>
        <v>0</v>
      </c>
    </row>
    <row r="32" ht="15.75" customHeight="1">
      <c r="A32" t="s">
        <v>547</v>
      </c>
      <c r="B32" t="s">
        <v>27</v>
      </c>
      <c r="C32">
        <v>3.0</v>
      </c>
      <c r="D32">
        <f t="shared" si="11"/>
        <v>3</v>
      </c>
    </row>
    <row r="33" ht="15.75" customHeight="1">
      <c r="A33" t="s">
        <v>544</v>
      </c>
      <c r="B33" t="s">
        <v>336</v>
      </c>
      <c r="C33">
        <v>3.0</v>
      </c>
      <c r="D33">
        <f t="shared" si="11"/>
        <v>3</v>
      </c>
    </row>
    <row r="34" ht="15.75" customHeight="1">
      <c r="A34" t="s">
        <v>546</v>
      </c>
      <c r="B34" t="s">
        <v>156</v>
      </c>
      <c r="C34">
        <v>3.0</v>
      </c>
      <c r="D34">
        <f t="shared" si="11"/>
        <v>0</v>
      </c>
    </row>
    <row r="35" ht="15.75" customHeight="1">
      <c r="A35" t="s">
        <v>548</v>
      </c>
      <c r="B35" t="s">
        <v>586</v>
      </c>
      <c r="C35">
        <v>2.0</v>
      </c>
      <c r="D35">
        <f t="shared" si="11"/>
        <v>0</v>
      </c>
    </row>
    <row r="36" ht="15.75" customHeight="1">
      <c r="A36" t="s">
        <v>545</v>
      </c>
      <c r="B36" t="s">
        <v>234</v>
      </c>
      <c r="C36">
        <v>1.0</v>
      </c>
      <c r="D36">
        <f t="shared" si="11"/>
        <v>1</v>
      </c>
    </row>
    <row r="37" ht="15.75" customHeight="1">
      <c r="A37" t="s">
        <v>551</v>
      </c>
      <c r="B37" t="s">
        <v>551</v>
      </c>
      <c r="C37">
        <v>1.0</v>
      </c>
      <c r="D37">
        <f t="shared" si="11"/>
        <v>1</v>
      </c>
    </row>
    <row r="38" ht="15.75" customHeight="1">
      <c r="A38" t="s">
        <v>550</v>
      </c>
      <c r="B38" t="s">
        <v>550</v>
      </c>
      <c r="C38">
        <v>1.0</v>
      </c>
      <c r="D38">
        <f t="shared" si="11"/>
        <v>1</v>
      </c>
    </row>
    <row r="39" ht="15.75" customHeight="1">
      <c r="A39" t="s">
        <v>1</v>
      </c>
      <c r="B39" t="s">
        <v>1</v>
      </c>
      <c r="C39">
        <v>1.0</v>
      </c>
      <c r="D39">
        <f t="shared" si="11"/>
        <v>1</v>
      </c>
    </row>
    <row r="40" ht="15.75" customHeight="1">
      <c r="A40" t="s">
        <v>543</v>
      </c>
      <c r="B40" t="s">
        <v>197</v>
      </c>
      <c r="C40">
        <v>1.0</v>
      </c>
      <c r="D40">
        <f t="shared" si="11"/>
        <v>0</v>
      </c>
    </row>
    <row r="41" ht="15.75" customHeight="1">
      <c r="A41" t="s">
        <v>29</v>
      </c>
      <c r="B41" t="s">
        <v>253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8:A9"/>
    <mergeCell ref="A4:A5"/>
    <mergeCell ref="A20:A21"/>
    <mergeCell ref="A16:A17"/>
    <mergeCell ref="A14:F15"/>
    <mergeCell ref="A3:F3"/>
    <mergeCell ref="H3:J3"/>
    <mergeCell ref="A10:F11"/>
    <mergeCell ref="H10:J11"/>
    <mergeCell ref="A18:F19"/>
    <mergeCell ref="H18:J19"/>
    <mergeCell ref="A1:D1"/>
    <mergeCell ref="A6:F7"/>
    <mergeCell ref="A12:A13"/>
    <mergeCell ref="H14:J15"/>
    <mergeCell ref="H6:J7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40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9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4" width="31.71"/>
    <col customWidth="1" min="5" max="5" width="25.29"/>
    <col customWidth="1" min="6" max="6" width="15.43"/>
    <col customWidth="1" min="7" max="7" width="12.43"/>
    <col customWidth="1" min="8" max="10" width="10.14"/>
    <col customWidth="1" min="11" max="26" width="8.71"/>
  </cols>
  <sheetData>
    <row r="1">
      <c r="A1" s="2" t="s">
        <v>148</v>
      </c>
      <c r="G1" s="2"/>
      <c r="O1" t="s">
        <v>620</v>
      </c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H2" s="1" t="s">
        <v>13</v>
      </c>
      <c r="I2" s="1" t="s">
        <v>15</v>
      </c>
      <c r="J2" s="1" t="s">
        <v>16</v>
      </c>
    </row>
    <row r="3">
      <c r="A3" s="2"/>
      <c r="H3" s="2"/>
    </row>
    <row r="4">
      <c r="A4" s="2" t="s">
        <v>2</v>
      </c>
      <c r="B4" s="1" t="s">
        <v>546</v>
      </c>
      <c r="C4" s="1" t="s">
        <v>29</v>
      </c>
      <c r="D4" s="1" t="s">
        <v>29</v>
      </c>
      <c r="E4" s="1" t="s">
        <v>29</v>
      </c>
      <c r="F4" s="1" t="s">
        <v>549</v>
      </c>
      <c r="H4" s="1" t="s">
        <v>29</v>
      </c>
      <c r="I4" s="1" t="s">
        <v>548</v>
      </c>
      <c r="J4" s="1" t="s">
        <v>29</v>
      </c>
    </row>
    <row r="5">
      <c r="B5" s="11" t="str">
        <f t="shared" ref="B5:D5" si="1">VLOOKUP(B4,$A$27:$B$43,2,FALSE)</f>
        <v>Samhita Chatterjee</v>
      </c>
      <c r="C5" s="11" t="str">
        <f t="shared" si="1"/>
        <v>-</v>
      </c>
      <c r="D5" s="11" t="str">
        <f t="shared" si="1"/>
        <v>-</v>
      </c>
      <c r="E5" s="11" t="str">
        <f>VLOOKUP(E4,$A$26:$B$43,2,FALSE)</f>
        <v>-</v>
      </c>
      <c r="F5" s="11" t="str">
        <f>VLOOKUP(F4,$A$27:$B$43,2,FALSE)</f>
        <v>Shely Das/Debarati Banerjee</v>
      </c>
      <c r="H5" t="str">
        <f t="shared" ref="H5:J5" si="2">VLOOKUP(H4,$A$27:$B$43,2,FALSE)</f>
        <v>-</v>
      </c>
      <c r="I5" t="str">
        <f t="shared" si="2"/>
        <v>Rekha Shaw/Debarati Banerjee</v>
      </c>
      <c r="J5" t="str">
        <f t="shared" si="2"/>
        <v>-</v>
      </c>
    </row>
    <row r="6">
      <c r="A6" s="2"/>
      <c r="H6" s="2"/>
    </row>
    <row r="8">
      <c r="A8" s="2" t="s">
        <v>3</v>
      </c>
      <c r="B8" s="1" t="s">
        <v>544</v>
      </c>
      <c r="C8" s="1" t="s">
        <v>29</v>
      </c>
      <c r="D8" s="32" t="s">
        <v>29</v>
      </c>
      <c r="E8" s="1" t="s">
        <v>29</v>
      </c>
      <c r="F8" s="1" t="s">
        <v>549</v>
      </c>
      <c r="H8" s="1" t="s">
        <v>29</v>
      </c>
      <c r="I8" s="32" t="s">
        <v>29</v>
      </c>
      <c r="J8" s="1" t="s">
        <v>543</v>
      </c>
    </row>
    <row r="9">
      <c r="B9" t="str">
        <f t="shared" ref="B9:F9" si="3">VLOOKUP(B8,$A$27:$B$43,2,FALSE)</f>
        <v>Samhita Chatterjee</v>
      </c>
      <c r="C9" t="str">
        <f t="shared" si="3"/>
        <v>-</v>
      </c>
      <c r="D9" t="str">
        <f t="shared" si="3"/>
        <v>-</v>
      </c>
      <c r="E9" t="str">
        <f t="shared" si="3"/>
        <v>-</v>
      </c>
      <c r="F9" t="str">
        <f t="shared" si="3"/>
        <v>Shely Das/Debarati Banerjee</v>
      </c>
      <c r="H9" t="str">
        <f t="shared" ref="H9:J9" si="4">VLOOKUP(H8,$A$27:$B$43,2,FALSE)</f>
        <v>-</v>
      </c>
      <c r="I9" t="str">
        <f t="shared" si="4"/>
        <v>-</v>
      </c>
      <c r="J9" t="str">
        <f t="shared" si="4"/>
        <v>Peter Gomes</v>
      </c>
    </row>
    <row r="10">
      <c r="A10" s="2"/>
      <c r="H10" s="2"/>
    </row>
    <row r="12">
      <c r="A12" s="2" t="s">
        <v>6</v>
      </c>
      <c r="B12" s="1" t="s">
        <v>546</v>
      </c>
      <c r="C12" s="1" t="s">
        <v>29</v>
      </c>
      <c r="D12" s="1" t="s">
        <v>548</v>
      </c>
      <c r="E12" s="1" t="s">
        <v>544</v>
      </c>
      <c r="F12" s="1" t="s">
        <v>29</v>
      </c>
      <c r="H12" s="32" t="s">
        <v>29</v>
      </c>
      <c r="I12" s="1" t="s">
        <v>29</v>
      </c>
      <c r="J12" s="1" t="s">
        <v>29</v>
      </c>
    </row>
    <row r="13">
      <c r="B13" t="str">
        <f t="shared" ref="B13:F13" si="5">VLOOKUP(B12,$A$27:$B$43,2,FALSE)</f>
        <v>Samhita Chatterjee</v>
      </c>
      <c r="C13" t="str">
        <f t="shared" si="5"/>
        <v>-</v>
      </c>
      <c r="D13" t="str">
        <f t="shared" si="5"/>
        <v>Rekha Shaw/Debarati Banerjee</v>
      </c>
      <c r="E13" t="str">
        <f t="shared" si="5"/>
        <v>Samhita Chatterjee</v>
      </c>
      <c r="F13" t="str">
        <f t="shared" si="5"/>
        <v>-</v>
      </c>
      <c r="H13" t="str">
        <f t="shared" ref="H13:J13" si="6">VLOOKUP(H12,$A$27:$B$43,2,FALSE)</f>
        <v>-</v>
      </c>
      <c r="I13" t="str">
        <f t="shared" si="6"/>
        <v>-</v>
      </c>
      <c r="J13" t="str">
        <f t="shared" si="6"/>
        <v>-</v>
      </c>
    </row>
    <row r="14">
      <c r="A14" s="2"/>
      <c r="H14" s="2"/>
    </row>
    <row r="16">
      <c r="A16" s="2" t="s">
        <v>88</v>
      </c>
      <c r="B16" s="1" t="s">
        <v>544</v>
      </c>
      <c r="C16" s="1" t="s">
        <v>29</v>
      </c>
      <c r="D16" s="1" t="s">
        <v>549</v>
      </c>
      <c r="E16" s="32" t="s">
        <v>29</v>
      </c>
      <c r="F16" s="1" t="s">
        <v>29</v>
      </c>
      <c r="H16" s="1" t="s">
        <v>29</v>
      </c>
      <c r="I16" s="1" t="s">
        <v>29</v>
      </c>
      <c r="J16" s="32" t="s">
        <v>29</v>
      </c>
    </row>
    <row r="17">
      <c r="B17" t="str">
        <f t="shared" ref="B17:F17" si="7">VLOOKUP(B16,$A$27:$B$43,2,FALSE)</f>
        <v>Samhita Chatterjee</v>
      </c>
      <c r="C17" t="str">
        <f t="shared" si="7"/>
        <v>-</v>
      </c>
      <c r="D17" t="str">
        <f t="shared" si="7"/>
        <v>Shely Das/Debarati Banerjee</v>
      </c>
      <c r="E17" t="str">
        <f t="shared" si="7"/>
        <v>-</v>
      </c>
      <c r="F17" t="str">
        <f t="shared" si="7"/>
        <v>-</v>
      </c>
      <c r="H17" t="str">
        <f t="shared" ref="H17:J17" si="8">VLOOKUP(H16,$A$27:$B$43,2,FALSE)</f>
        <v>-</v>
      </c>
      <c r="I17" t="str">
        <f t="shared" si="8"/>
        <v>-</v>
      </c>
      <c r="J17" t="str">
        <f t="shared" si="8"/>
        <v>-</v>
      </c>
    </row>
    <row r="18">
      <c r="A18" s="2"/>
      <c r="H18" s="2"/>
    </row>
    <row r="20">
      <c r="A20" s="2" t="s">
        <v>11</v>
      </c>
      <c r="B20" s="1" t="s">
        <v>546</v>
      </c>
      <c r="C20" s="1" t="s">
        <v>549</v>
      </c>
      <c r="D20" s="1" t="s">
        <v>29</v>
      </c>
      <c r="E20" s="1" t="s">
        <v>29</v>
      </c>
      <c r="F20" s="32" t="s">
        <v>29</v>
      </c>
      <c r="H20" s="1" t="s">
        <v>29</v>
      </c>
      <c r="I20" s="1" t="s">
        <v>29</v>
      </c>
      <c r="J20" s="32" t="s">
        <v>29</v>
      </c>
    </row>
    <row r="21" ht="15.75" customHeight="1">
      <c r="B21" t="str">
        <f t="shared" ref="B21:F21" si="9">VLOOKUP(B20,$A$27:$B$43,2,FALSE)</f>
        <v>Samhita Chatterjee</v>
      </c>
      <c r="C21" t="str">
        <f t="shared" si="9"/>
        <v>Shely Das/Debarati Banerjee</v>
      </c>
      <c r="D21" t="str">
        <f t="shared" si="9"/>
        <v>-</v>
      </c>
      <c r="E21" t="str">
        <f t="shared" si="9"/>
        <v>-</v>
      </c>
      <c r="F21" t="str">
        <f t="shared" si="9"/>
        <v>-</v>
      </c>
      <c r="H21" t="str">
        <f t="shared" ref="H21:J21" si="10">VLOOKUP(H20,$A$27:$B$43,2,FALSE)</f>
        <v>-</v>
      </c>
      <c r="I21" t="str">
        <f t="shared" si="10"/>
        <v>-</v>
      </c>
      <c r="J21" t="str">
        <f t="shared" si="10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538</v>
      </c>
      <c r="B26" t="s">
        <v>220</v>
      </c>
      <c r="C26">
        <v>4.0</v>
      </c>
      <c r="D26">
        <f t="shared" ref="D26:D40" si="11">$C26-COUNTIF($A$4:$J$21,$A26)</f>
        <v>4</v>
      </c>
    </row>
    <row r="27" ht="15.75" customHeight="1">
      <c r="A27" t="s">
        <v>528</v>
      </c>
      <c r="B27" t="s">
        <v>367</v>
      </c>
      <c r="C27">
        <v>5.0</v>
      </c>
      <c r="D27">
        <f t="shared" si="11"/>
        <v>5</v>
      </c>
    </row>
    <row r="28" ht="15.75" customHeight="1">
      <c r="A28" t="s">
        <v>537</v>
      </c>
      <c r="B28" t="s">
        <v>123</v>
      </c>
      <c r="C28">
        <v>4.0</v>
      </c>
      <c r="D28">
        <f t="shared" si="11"/>
        <v>4</v>
      </c>
    </row>
    <row r="29" ht="15.75" customHeight="1">
      <c r="A29" t="s">
        <v>542</v>
      </c>
      <c r="B29" t="s">
        <v>562</v>
      </c>
      <c r="C29">
        <v>4.0</v>
      </c>
      <c r="D29">
        <f t="shared" si="11"/>
        <v>4</v>
      </c>
    </row>
    <row r="30" ht="15.75" customHeight="1">
      <c r="A30" t="s">
        <v>534</v>
      </c>
      <c r="B30" t="s">
        <v>360</v>
      </c>
      <c r="C30">
        <v>3.0</v>
      </c>
      <c r="D30">
        <f t="shared" si="11"/>
        <v>3</v>
      </c>
    </row>
    <row r="31" ht="15.75" customHeight="1">
      <c r="A31" t="s">
        <v>547</v>
      </c>
      <c r="B31" t="s">
        <v>27</v>
      </c>
      <c r="C31">
        <v>3.0</v>
      </c>
      <c r="D31">
        <f t="shared" si="11"/>
        <v>3</v>
      </c>
    </row>
    <row r="32" ht="15.75" customHeight="1">
      <c r="A32" t="s">
        <v>551</v>
      </c>
      <c r="B32" t="s">
        <v>551</v>
      </c>
      <c r="C32">
        <v>1.0</v>
      </c>
      <c r="D32">
        <f t="shared" si="11"/>
        <v>1</v>
      </c>
    </row>
    <row r="33" ht="15.75" customHeight="1">
      <c r="A33" t="s">
        <v>550</v>
      </c>
      <c r="B33" t="s">
        <v>550</v>
      </c>
      <c r="C33">
        <v>1.0</v>
      </c>
      <c r="D33">
        <f t="shared" si="11"/>
        <v>1</v>
      </c>
    </row>
    <row r="34" ht="15.75" customHeight="1">
      <c r="A34" t="s">
        <v>1</v>
      </c>
      <c r="B34" t="s">
        <v>1</v>
      </c>
      <c r="C34">
        <v>1.0</v>
      </c>
      <c r="D34">
        <f t="shared" si="11"/>
        <v>1</v>
      </c>
    </row>
    <row r="35" ht="15.75" customHeight="1">
      <c r="A35" t="s">
        <v>545</v>
      </c>
      <c r="B35" t="s">
        <v>234</v>
      </c>
      <c r="C35">
        <v>1.0</v>
      </c>
      <c r="D35">
        <f t="shared" si="11"/>
        <v>1</v>
      </c>
    </row>
    <row r="36" ht="15.75" customHeight="1">
      <c r="A36" t="s">
        <v>549</v>
      </c>
      <c r="B36" t="s">
        <v>588</v>
      </c>
      <c r="C36">
        <v>4.0</v>
      </c>
      <c r="D36">
        <f t="shared" si="11"/>
        <v>0</v>
      </c>
    </row>
    <row r="37" ht="15.75" customHeight="1">
      <c r="A37" t="s">
        <v>544</v>
      </c>
      <c r="B37" t="s">
        <v>216</v>
      </c>
      <c r="C37">
        <v>3.0</v>
      </c>
      <c r="D37">
        <f t="shared" si="11"/>
        <v>0</v>
      </c>
    </row>
    <row r="38" ht="15.75" customHeight="1">
      <c r="A38" t="s">
        <v>546</v>
      </c>
      <c r="B38" t="s">
        <v>216</v>
      </c>
      <c r="C38">
        <v>3.0</v>
      </c>
      <c r="D38">
        <f t="shared" si="11"/>
        <v>0</v>
      </c>
    </row>
    <row r="39" ht="15.75" customHeight="1">
      <c r="A39" t="s">
        <v>548</v>
      </c>
      <c r="B39" t="s">
        <v>586</v>
      </c>
      <c r="C39">
        <v>2.0</v>
      </c>
      <c r="D39">
        <f t="shared" si="11"/>
        <v>0</v>
      </c>
    </row>
    <row r="40" ht="15.75" customHeight="1">
      <c r="A40" t="s">
        <v>543</v>
      </c>
      <c r="B40" t="s">
        <v>197</v>
      </c>
      <c r="C40">
        <v>1.0</v>
      </c>
      <c r="D40">
        <f t="shared" si="11"/>
        <v>0</v>
      </c>
    </row>
    <row r="41" ht="15.75" customHeight="1">
      <c r="A41" t="s">
        <v>29</v>
      </c>
      <c r="B41" t="s">
        <v>253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H18:J19"/>
    <mergeCell ref="A18:F19"/>
    <mergeCell ref="A16:A17"/>
    <mergeCell ref="A12:A13"/>
    <mergeCell ref="A4:A5"/>
    <mergeCell ref="A1:D1"/>
    <mergeCell ref="A6:F7"/>
    <mergeCell ref="A3:F3"/>
    <mergeCell ref="H10:J11"/>
    <mergeCell ref="A10:F11"/>
    <mergeCell ref="H6:J7"/>
    <mergeCell ref="H14:J15"/>
    <mergeCell ref="G1:G21"/>
    <mergeCell ref="A8:A9"/>
    <mergeCell ref="A20:A21"/>
    <mergeCell ref="A14:F15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F4 H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40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9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26.0"/>
    <col customWidth="1" min="3" max="3" width="15.0"/>
    <col customWidth="1" min="4" max="6" width="10.14"/>
    <col customWidth="1" min="7" max="7" width="15.0"/>
    <col customWidth="1" min="8" max="9" width="10.14"/>
    <col customWidth="1" min="10" max="10" width="11.29"/>
    <col customWidth="1" min="11" max="26" width="8.71"/>
  </cols>
  <sheetData>
    <row r="1">
      <c r="A1" s="2" t="s">
        <v>150</v>
      </c>
      <c r="G1" s="2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H2" s="1" t="s">
        <v>13</v>
      </c>
      <c r="I2" s="1" t="s">
        <v>15</v>
      </c>
      <c r="J2" s="1" t="s">
        <v>16</v>
      </c>
    </row>
    <row r="3">
      <c r="A3" s="2"/>
      <c r="H3" s="2"/>
    </row>
    <row r="4">
      <c r="A4" s="2" t="s">
        <v>2</v>
      </c>
      <c r="B4" s="1" t="s">
        <v>546</v>
      </c>
      <c r="C4" s="1" t="s">
        <v>29</v>
      </c>
      <c r="D4" s="1" t="s">
        <v>29</v>
      </c>
      <c r="E4" s="1" t="s">
        <v>29</v>
      </c>
      <c r="F4" s="1" t="s">
        <v>549</v>
      </c>
      <c r="H4" s="1" t="s">
        <v>29</v>
      </c>
      <c r="I4" s="1" t="s">
        <v>548</v>
      </c>
      <c r="J4" s="1" t="s">
        <v>29</v>
      </c>
    </row>
    <row r="5">
      <c r="B5" s="11" t="str">
        <f t="shared" ref="B5:F5" si="1">VLOOKUP(B4,$A$26:$B$43,2,FALSE)</f>
        <v>Abhishweta Roy Choudhury</v>
      </c>
      <c r="C5" s="11" t="str">
        <f t="shared" si="1"/>
        <v>-</v>
      </c>
      <c r="D5" s="11" t="str">
        <f t="shared" si="1"/>
        <v>-</v>
      </c>
      <c r="E5" s="11" t="str">
        <f t="shared" si="1"/>
        <v>-</v>
      </c>
      <c r="F5" s="11" t="str">
        <f t="shared" si="1"/>
        <v>Rekha Shaw/Lina Mondal</v>
      </c>
      <c r="H5" t="str">
        <f t="shared" ref="H5:J5" si="2">VLOOKUP(H4,$A$26:$B$43,2,FALSE)</f>
        <v>-</v>
      </c>
      <c r="I5" t="str">
        <f t="shared" si="2"/>
        <v>Shely Das/Srabani Mondal</v>
      </c>
      <c r="J5" t="str">
        <f t="shared" si="2"/>
        <v>-</v>
      </c>
    </row>
    <row r="6">
      <c r="A6" s="2"/>
      <c r="H6" s="2"/>
    </row>
    <row r="8">
      <c r="A8" s="2" t="s">
        <v>3</v>
      </c>
      <c r="B8" s="1" t="s">
        <v>538</v>
      </c>
      <c r="C8" s="1" t="s">
        <v>29</v>
      </c>
      <c r="D8" s="1" t="s">
        <v>29</v>
      </c>
      <c r="E8" s="1" t="s">
        <v>29</v>
      </c>
      <c r="F8" s="1" t="s">
        <v>549</v>
      </c>
      <c r="H8" s="1" t="s">
        <v>29</v>
      </c>
      <c r="I8" s="1" t="s">
        <v>29</v>
      </c>
      <c r="J8" s="1" t="s">
        <v>29</v>
      </c>
    </row>
    <row r="9">
      <c r="B9" t="str">
        <f t="shared" ref="B9:F9" si="3">VLOOKUP(B8,$A$26:$B$43,2,FALSE)</f>
        <v>Abhishweta Roy Choudhury</v>
      </c>
      <c r="C9" t="str">
        <f t="shared" si="3"/>
        <v>-</v>
      </c>
      <c r="D9" t="str">
        <f t="shared" si="3"/>
        <v>-</v>
      </c>
      <c r="E9" t="str">
        <f t="shared" si="3"/>
        <v>-</v>
      </c>
      <c r="F9" t="str">
        <f t="shared" si="3"/>
        <v>Rekha Shaw/Lina Mondal</v>
      </c>
      <c r="H9" t="str">
        <f t="shared" ref="H9:J9" si="4">VLOOKUP(H8,$A$26:$B$43,2,FALSE)</f>
        <v>-</v>
      </c>
      <c r="I9" t="str">
        <f t="shared" si="4"/>
        <v>-</v>
      </c>
      <c r="J9" t="str">
        <f t="shared" si="4"/>
        <v>-</v>
      </c>
    </row>
    <row r="10">
      <c r="A10" s="2"/>
      <c r="H10" s="2"/>
    </row>
    <row r="12">
      <c r="A12" s="2" t="s">
        <v>6</v>
      </c>
      <c r="B12" s="1" t="s">
        <v>546</v>
      </c>
      <c r="C12" s="1" t="s">
        <v>29</v>
      </c>
      <c r="D12" s="1" t="s">
        <v>548</v>
      </c>
      <c r="E12" s="1" t="s">
        <v>29</v>
      </c>
      <c r="F12" s="1" t="s">
        <v>29</v>
      </c>
      <c r="H12" s="1" t="s">
        <v>29</v>
      </c>
      <c r="I12" s="1" t="s">
        <v>29</v>
      </c>
      <c r="J12" s="1" t="s">
        <v>543</v>
      </c>
    </row>
    <row r="13">
      <c r="B13" t="str">
        <f t="shared" ref="B13:F13" si="5">VLOOKUP(B12,$A$26:$B$43,2,FALSE)</f>
        <v>Abhishweta Roy Choudhury</v>
      </c>
      <c r="C13" t="str">
        <f t="shared" si="5"/>
        <v>-</v>
      </c>
      <c r="D13" t="str">
        <f t="shared" si="5"/>
        <v>Shely Das/Srabani Mondal</v>
      </c>
      <c r="E13" t="str">
        <f t="shared" si="5"/>
        <v>-</v>
      </c>
      <c r="F13" t="str">
        <f t="shared" si="5"/>
        <v>-</v>
      </c>
      <c r="H13" t="str">
        <f t="shared" ref="H13:J13" si="6">VLOOKUP(H12,$A$26:$B$43,2,FALSE)</f>
        <v>-</v>
      </c>
      <c r="I13" t="str">
        <f t="shared" si="6"/>
        <v>-</v>
      </c>
      <c r="J13" t="str">
        <f t="shared" si="6"/>
        <v>Peter Gomes</v>
      </c>
    </row>
    <row r="14">
      <c r="A14" s="2"/>
      <c r="H14" s="2"/>
    </row>
    <row r="16">
      <c r="A16" s="2" t="s">
        <v>88</v>
      </c>
      <c r="B16" s="1" t="s">
        <v>538</v>
      </c>
      <c r="C16" s="1" t="s">
        <v>29</v>
      </c>
      <c r="D16" s="1" t="s">
        <v>549</v>
      </c>
      <c r="E16" s="1" t="s">
        <v>29</v>
      </c>
      <c r="F16" s="1" t="s">
        <v>29</v>
      </c>
      <c r="H16" s="1" t="s">
        <v>29</v>
      </c>
      <c r="I16" s="1" t="s">
        <v>29</v>
      </c>
      <c r="J16" s="1" t="s">
        <v>29</v>
      </c>
    </row>
    <row r="17">
      <c r="B17" t="str">
        <f t="shared" ref="B17:F17" si="7">VLOOKUP(B16,$A$26:$B$43,2,FALSE)</f>
        <v>Abhishweta Roy Choudhury</v>
      </c>
      <c r="C17" t="str">
        <f t="shared" si="7"/>
        <v>-</v>
      </c>
      <c r="D17" t="str">
        <f t="shared" si="7"/>
        <v>Rekha Shaw/Lina Mondal</v>
      </c>
      <c r="E17" t="str">
        <f t="shared" si="7"/>
        <v>-</v>
      </c>
      <c r="F17" t="str">
        <f t="shared" si="7"/>
        <v>-</v>
      </c>
      <c r="H17" t="str">
        <f t="shared" ref="H17:J17" si="8">VLOOKUP(H16,$A$26:$B$43,2,FALSE)</f>
        <v>-</v>
      </c>
      <c r="I17" t="str">
        <f t="shared" si="8"/>
        <v>-</v>
      </c>
      <c r="J17" t="str">
        <f t="shared" si="8"/>
        <v>-</v>
      </c>
    </row>
    <row r="18">
      <c r="A18" s="2"/>
      <c r="H18" s="2"/>
    </row>
    <row r="20">
      <c r="A20" s="2" t="s">
        <v>11</v>
      </c>
      <c r="B20" s="1" t="s">
        <v>546</v>
      </c>
      <c r="C20" s="1" t="s">
        <v>549</v>
      </c>
      <c r="D20" s="1" t="s">
        <v>29</v>
      </c>
      <c r="E20" s="1" t="s">
        <v>29</v>
      </c>
      <c r="F20" s="1" t="s">
        <v>29</v>
      </c>
      <c r="H20" s="1" t="s">
        <v>29</v>
      </c>
      <c r="I20" s="1" t="s">
        <v>29</v>
      </c>
      <c r="J20" s="1" t="s">
        <v>29</v>
      </c>
    </row>
    <row r="21" ht="15.75" customHeight="1">
      <c r="B21" t="str">
        <f t="shared" ref="B21:F21" si="9">VLOOKUP(B20,$A$26:$B$43,2,FALSE)</f>
        <v>Abhishweta Roy Choudhury</v>
      </c>
      <c r="C21" t="str">
        <f t="shared" si="9"/>
        <v>Rekha Shaw/Lina Mondal</v>
      </c>
      <c r="D21" t="str">
        <f t="shared" si="9"/>
        <v>-</v>
      </c>
      <c r="E21" t="str">
        <f t="shared" si="9"/>
        <v>-</v>
      </c>
      <c r="F21" t="str">
        <f t="shared" si="9"/>
        <v>-</v>
      </c>
      <c r="H21" t="str">
        <f t="shared" ref="H21:J21" si="10">VLOOKUP(H20,$A$26:$B$43,2,FALSE)</f>
        <v>-</v>
      </c>
      <c r="I21" t="str">
        <f t="shared" si="10"/>
        <v>-</v>
      </c>
      <c r="J21" t="str">
        <f t="shared" si="10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344</v>
      </c>
      <c r="C26">
        <v>5.0</v>
      </c>
      <c r="D26">
        <f t="shared" ref="D26:D40" si="11">$C26-COUNTIF($A$4:$J$21,$A26)</f>
        <v>5</v>
      </c>
    </row>
    <row r="27" ht="15.75" customHeight="1">
      <c r="A27" t="s">
        <v>538</v>
      </c>
      <c r="B27" t="s">
        <v>17</v>
      </c>
      <c r="C27">
        <v>4.0</v>
      </c>
      <c r="D27">
        <f t="shared" si="11"/>
        <v>2</v>
      </c>
    </row>
    <row r="28" ht="15.75" customHeight="1">
      <c r="A28" t="s">
        <v>537</v>
      </c>
      <c r="B28" t="s">
        <v>339</v>
      </c>
      <c r="C28">
        <v>4.0</v>
      </c>
      <c r="D28">
        <f t="shared" si="11"/>
        <v>4</v>
      </c>
    </row>
    <row r="29" ht="15.75" customHeight="1">
      <c r="A29" t="s">
        <v>542</v>
      </c>
      <c r="B29" t="s">
        <v>118</v>
      </c>
      <c r="C29">
        <v>4.0</v>
      </c>
      <c r="D29">
        <f t="shared" si="11"/>
        <v>4</v>
      </c>
    </row>
    <row r="30" ht="15.75" customHeight="1">
      <c r="A30" t="s">
        <v>549</v>
      </c>
      <c r="B30" t="s">
        <v>563</v>
      </c>
      <c r="C30">
        <v>4.0</v>
      </c>
      <c r="D30">
        <f t="shared" si="11"/>
        <v>0</v>
      </c>
    </row>
    <row r="31" ht="15.75" customHeight="1">
      <c r="A31" t="s">
        <v>534</v>
      </c>
      <c r="B31" t="s">
        <v>360</v>
      </c>
      <c r="C31">
        <v>3.0</v>
      </c>
      <c r="D31">
        <f t="shared" si="11"/>
        <v>3</v>
      </c>
    </row>
    <row r="32" ht="15.75" customHeight="1">
      <c r="A32" t="s">
        <v>547</v>
      </c>
      <c r="B32" t="s">
        <v>26</v>
      </c>
      <c r="C32">
        <v>3.0</v>
      </c>
      <c r="D32">
        <f t="shared" si="11"/>
        <v>3</v>
      </c>
    </row>
    <row r="33" ht="15.75" customHeight="1">
      <c r="A33" t="s">
        <v>544</v>
      </c>
      <c r="B33" t="s">
        <v>27</v>
      </c>
      <c r="C33">
        <v>3.0</v>
      </c>
      <c r="D33">
        <f t="shared" si="11"/>
        <v>3</v>
      </c>
    </row>
    <row r="34" ht="15.75" customHeight="1">
      <c r="A34" t="s">
        <v>546</v>
      </c>
      <c r="B34" t="s">
        <v>17</v>
      </c>
      <c r="C34">
        <v>3.0</v>
      </c>
      <c r="D34">
        <f t="shared" si="11"/>
        <v>0</v>
      </c>
    </row>
    <row r="35" ht="15.75" customHeight="1">
      <c r="A35" t="s">
        <v>548</v>
      </c>
      <c r="B35" t="s">
        <v>597</v>
      </c>
      <c r="C35">
        <v>2.0</v>
      </c>
      <c r="D35">
        <f t="shared" si="11"/>
        <v>0</v>
      </c>
    </row>
    <row r="36" ht="15.75" customHeight="1">
      <c r="A36" t="s">
        <v>545</v>
      </c>
      <c r="B36" t="s">
        <v>234</v>
      </c>
      <c r="C36">
        <v>1.0</v>
      </c>
      <c r="D36">
        <f t="shared" si="11"/>
        <v>1</v>
      </c>
    </row>
    <row r="37" ht="15.75" customHeight="1">
      <c r="A37" t="s">
        <v>550</v>
      </c>
      <c r="B37" t="s">
        <v>550</v>
      </c>
      <c r="C37">
        <v>1.0</v>
      </c>
      <c r="D37">
        <f t="shared" si="11"/>
        <v>1</v>
      </c>
    </row>
    <row r="38" ht="15.75" customHeight="1">
      <c r="A38" t="s">
        <v>551</v>
      </c>
      <c r="B38" t="s">
        <v>551</v>
      </c>
      <c r="C38">
        <v>1.0</v>
      </c>
      <c r="D38">
        <f t="shared" si="11"/>
        <v>1</v>
      </c>
    </row>
    <row r="39" ht="15.75" customHeight="1">
      <c r="A39" t="s">
        <v>1</v>
      </c>
      <c r="B39" t="s">
        <v>1</v>
      </c>
      <c r="C39">
        <v>1.0</v>
      </c>
      <c r="D39">
        <f t="shared" si="11"/>
        <v>1</v>
      </c>
    </row>
    <row r="40" ht="15.75" customHeight="1">
      <c r="A40" t="s">
        <v>543</v>
      </c>
      <c r="B40" t="s">
        <v>197</v>
      </c>
      <c r="C40">
        <v>1.0</v>
      </c>
      <c r="D40">
        <f t="shared" si="11"/>
        <v>0</v>
      </c>
    </row>
    <row r="41" ht="15.75" customHeight="1">
      <c r="A41" t="s">
        <v>29</v>
      </c>
      <c r="B41" t="s">
        <v>253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H18:J19"/>
    <mergeCell ref="A18:F19"/>
    <mergeCell ref="A16:A17"/>
    <mergeCell ref="A12:A13"/>
    <mergeCell ref="A4:A5"/>
    <mergeCell ref="A1:D1"/>
    <mergeCell ref="A6:F7"/>
    <mergeCell ref="A3:F3"/>
    <mergeCell ref="H10:J11"/>
    <mergeCell ref="A10:F11"/>
    <mergeCell ref="H6:J7"/>
    <mergeCell ref="H14:J15"/>
    <mergeCell ref="G1:G21"/>
    <mergeCell ref="A8:A9"/>
    <mergeCell ref="A20:A21"/>
    <mergeCell ref="A14:F15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F4 H4:J4 B8:F8 H8:J8 B12:F12 H12:J12 B16:F16 H16:J16 B20:F20 H20:J20">
      <formula1>Subjects</formula1>
    </dataValidation>
    <dataValidation type="list" allowBlank="1" showErrorMessage="1" sqref="B38">
      <formula1>INDIRECT($A$38)</formula1>
    </dataValidation>
    <dataValidation type="list" allowBlank="1" showErrorMessage="1" sqref="B40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:B28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9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42">
      <formula1>INDIRECT($A$42)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31.43"/>
    <col customWidth="1" min="3" max="26" width="8.71"/>
  </cols>
  <sheetData>
    <row r="1">
      <c r="A1" s="2" t="s">
        <v>154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546</v>
      </c>
      <c r="C4" s="1" t="s">
        <v>29</v>
      </c>
      <c r="D4" s="1" t="s">
        <v>29</v>
      </c>
      <c r="E4" s="1" t="s">
        <v>29</v>
      </c>
      <c r="F4" s="1" t="s">
        <v>549</v>
      </c>
      <c r="G4" s="30"/>
      <c r="H4" s="1" t="s">
        <v>29</v>
      </c>
      <c r="I4" s="1" t="s">
        <v>548</v>
      </c>
      <c r="J4" s="1" t="s">
        <v>29</v>
      </c>
    </row>
    <row r="5">
      <c r="B5" s="11" t="str">
        <f t="shared" ref="B5:F5" si="1">VLOOKUP(B4,$A$26:$B$43,2,FALSE)</f>
        <v>Ranita Datta</v>
      </c>
      <c r="C5" s="11" t="str">
        <f t="shared" si="1"/>
        <v>-</v>
      </c>
      <c r="D5" s="11" t="str">
        <f t="shared" si="1"/>
        <v>-</v>
      </c>
      <c r="E5" s="11" t="str">
        <f t="shared" si="1"/>
        <v>-</v>
      </c>
      <c r="F5" s="11" t="str">
        <f t="shared" si="1"/>
        <v>Rekha Shaw/Lina Mondal</v>
      </c>
      <c r="G5" s="30"/>
      <c r="H5" t="str">
        <f t="shared" ref="H5:J5" si="2">VLOOKUP(H4,$A$26:$B$43,2,FALSE)</f>
        <v>-</v>
      </c>
      <c r="I5" t="str">
        <f t="shared" si="2"/>
        <v>Shely Das/Srabani Mondal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537</v>
      </c>
      <c r="C8" s="1" t="s">
        <v>29</v>
      </c>
      <c r="D8" s="1" t="s">
        <v>29</v>
      </c>
      <c r="E8" s="1" t="s">
        <v>29</v>
      </c>
      <c r="F8" s="1" t="s">
        <v>549</v>
      </c>
      <c r="G8" s="30"/>
      <c r="H8" s="1" t="s">
        <v>29</v>
      </c>
      <c r="I8" s="1" t="s">
        <v>29</v>
      </c>
      <c r="J8" s="1" t="s">
        <v>29</v>
      </c>
    </row>
    <row r="9">
      <c r="B9" t="str">
        <f t="shared" ref="B9:F9" si="3">VLOOKUP(B8,$A$26:$B$43,2,FALSE)</f>
        <v>Ranita Datta</v>
      </c>
      <c r="C9" t="str">
        <f t="shared" si="3"/>
        <v>-</v>
      </c>
      <c r="D9" t="str">
        <f t="shared" si="3"/>
        <v>-</v>
      </c>
      <c r="E9" t="str">
        <f t="shared" si="3"/>
        <v>-</v>
      </c>
      <c r="F9" t="str">
        <f t="shared" si="3"/>
        <v>Rekha Shaw/Lina Mondal</v>
      </c>
      <c r="G9" s="30"/>
      <c r="H9" t="str">
        <f t="shared" ref="H9:J9" si="4">VLOOKUP(H8,$A$26:$B$43,2,FALSE)</f>
        <v>-</v>
      </c>
      <c r="I9" t="str">
        <f t="shared" si="4"/>
        <v>-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546</v>
      </c>
      <c r="C12" s="1" t="s">
        <v>29</v>
      </c>
      <c r="D12" s="1" t="s">
        <v>548</v>
      </c>
      <c r="E12" s="1" t="s">
        <v>29</v>
      </c>
      <c r="F12" s="1" t="s">
        <v>29</v>
      </c>
      <c r="G12" s="30"/>
      <c r="H12" s="1" t="s">
        <v>537</v>
      </c>
      <c r="I12" s="1" t="s">
        <v>29</v>
      </c>
      <c r="J12" s="1" t="s">
        <v>29</v>
      </c>
    </row>
    <row r="13">
      <c r="B13" t="str">
        <f t="shared" ref="B13:F13" si="5">VLOOKUP(B12,$A$26:$B$43,2,FALSE)</f>
        <v>Ranita Datta</v>
      </c>
      <c r="C13" t="str">
        <f t="shared" si="5"/>
        <v>-</v>
      </c>
      <c r="D13" t="str">
        <f t="shared" si="5"/>
        <v>Shely Das/Srabani Mondal</v>
      </c>
      <c r="E13" t="str">
        <f t="shared" si="5"/>
        <v>-</v>
      </c>
      <c r="F13" t="str">
        <f t="shared" si="5"/>
        <v>-</v>
      </c>
      <c r="G13" s="30"/>
      <c r="H13" t="str">
        <f t="shared" ref="H13:J13" si="6">VLOOKUP(H12,$A$26:$B$43,2,FALSE)</f>
        <v>Ranita Datta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537</v>
      </c>
      <c r="C16" s="1" t="s">
        <v>29</v>
      </c>
      <c r="D16" s="1" t="s">
        <v>549</v>
      </c>
      <c r="E16" s="1" t="s">
        <v>29</v>
      </c>
      <c r="F16" s="1" t="s">
        <v>29</v>
      </c>
      <c r="G16" s="30"/>
      <c r="H16" s="1" t="s">
        <v>29</v>
      </c>
      <c r="I16" s="1" t="s">
        <v>29</v>
      </c>
      <c r="J16" s="1" t="s">
        <v>543</v>
      </c>
    </row>
    <row r="17">
      <c r="A17" s="2"/>
      <c r="B17" t="str">
        <f t="shared" ref="B17:F17" si="7">VLOOKUP(B16,$A$26:$B$43,2,FALSE)</f>
        <v>Ranita Datta</v>
      </c>
      <c r="C17" t="str">
        <f t="shared" si="7"/>
        <v>-</v>
      </c>
      <c r="D17" t="str">
        <f t="shared" si="7"/>
        <v>Rekha Shaw/Lina Mondal</v>
      </c>
      <c r="E17" t="str">
        <f t="shared" si="7"/>
        <v>-</v>
      </c>
      <c r="F17" t="str">
        <f t="shared" si="7"/>
        <v>-</v>
      </c>
      <c r="G17" s="30"/>
      <c r="H17" t="str">
        <f t="shared" ref="H17:J17" si="8">VLOOKUP(H16,$A$26:$B$43,2,FALSE)</f>
        <v>-</v>
      </c>
      <c r="I17" t="str">
        <f t="shared" si="8"/>
        <v>-</v>
      </c>
      <c r="J17" t="str">
        <f t="shared" si="8"/>
        <v>Peter Gomes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546</v>
      </c>
      <c r="C20" s="1" t="s">
        <v>549</v>
      </c>
      <c r="D20" s="1" t="s">
        <v>537</v>
      </c>
      <c r="E20" s="1" t="s">
        <v>29</v>
      </c>
      <c r="F20" s="1" t="s">
        <v>29</v>
      </c>
      <c r="G20" s="30"/>
      <c r="H20" s="1" t="s">
        <v>29</v>
      </c>
      <c r="I20" s="1" t="s">
        <v>29</v>
      </c>
      <c r="J20" s="1" t="s">
        <v>29</v>
      </c>
    </row>
    <row r="21" ht="15.75" customHeight="1">
      <c r="B21" t="str">
        <f t="shared" ref="B21:F21" si="9">VLOOKUP(B20,$A$26:$B$43,2,FALSE)</f>
        <v>Ranita Datta</v>
      </c>
      <c r="C21" t="str">
        <f t="shared" si="9"/>
        <v>Rekha Shaw/Lina Mondal</v>
      </c>
      <c r="D21" t="str">
        <f t="shared" si="9"/>
        <v>Ranita Datta</v>
      </c>
      <c r="E21" t="str">
        <f t="shared" si="9"/>
        <v>-</v>
      </c>
      <c r="F21" t="str">
        <f t="shared" si="9"/>
        <v>-</v>
      </c>
      <c r="G21" s="30"/>
      <c r="H21" t="str">
        <f t="shared" ref="H21:J21" si="10">VLOOKUP(H20,$A$26:$B$43,2,FALSE)</f>
        <v>-</v>
      </c>
      <c r="I21" t="str">
        <f t="shared" si="10"/>
        <v>-</v>
      </c>
      <c r="J21" t="str">
        <f t="shared" si="10"/>
        <v>-</v>
      </c>
    </row>
    <row r="22" ht="15.75" customHeight="1"/>
    <row r="23" ht="15.75" customHeight="1"/>
    <row r="24" ht="15.75" customHeight="1"/>
    <row r="25" ht="15.75" customHeight="1">
      <c r="A25" s="1" t="s">
        <v>621</v>
      </c>
      <c r="B25" s="1" t="s">
        <v>622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27</v>
      </c>
      <c r="C26">
        <v>5.0</v>
      </c>
      <c r="D26">
        <f t="shared" ref="D26:D40" si="11">$C26-COUNTIF($A$4:$J$21,$A26)</f>
        <v>5</v>
      </c>
    </row>
    <row r="27" ht="15.75" customHeight="1">
      <c r="A27" t="s">
        <v>542</v>
      </c>
      <c r="B27" t="s">
        <v>118</v>
      </c>
      <c r="C27">
        <v>4.0</v>
      </c>
      <c r="D27">
        <f t="shared" si="11"/>
        <v>4</v>
      </c>
    </row>
    <row r="28" ht="15.75" customHeight="1">
      <c r="A28" t="s">
        <v>538</v>
      </c>
      <c r="B28" t="s">
        <v>110</v>
      </c>
      <c r="C28">
        <v>4.0</v>
      </c>
      <c r="D28">
        <f t="shared" si="11"/>
        <v>4</v>
      </c>
    </row>
    <row r="29" ht="15.75" customHeight="1">
      <c r="A29" t="s">
        <v>534</v>
      </c>
      <c r="B29" t="s">
        <v>360</v>
      </c>
      <c r="C29">
        <v>3.0</v>
      </c>
      <c r="D29">
        <f t="shared" si="11"/>
        <v>3</v>
      </c>
    </row>
    <row r="30" ht="15.75" customHeight="1">
      <c r="A30" t="s">
        <v>547</v>
      </c>
      <c r="B30" t="s">
        <v>26</v>
      </c>
      <c r="C30">
        <v>3.0</v>
      </c>
      <c r="D30">
        <f t="shared" si="11"/>
        <v>3</v>
      </c>
    </row>
    <row r="31" ht="15.75" customHeight="1">
      <c r="A31" t="s">
        <v>544</v>
      </c>
      <c r="B31" t="s">
        <v>336</v>
      </c>
      <c r="C31">
        <v>3.0</v>
      </c>
      <c r="D31">
        <f t="shared" si="11"/>
        <v>3</v>
      </c>
    </row>
    <row r="32" ht="15.75" customHeight="1">
      <c r="A32" t="s">
        <v>545</v>
      </c>
      <c r="B32" t="s">
        <v>234</v>
      </c>
      <c r="C32">
        <v>1.0</v>
      </c>
      <c r="D32">
        <f t="shared" si="11"/>
        <v>1</v>
      </c>
    </row>
    <row r="33" ht="15.75" customHeight="1">
      <c r="A33" t="s">
        <v>1</v>
      </c>
      <c r="B33" t="s">
        <v>1</v>
      </c>
      <c r="C33">
        <v>1.0</v>
      </c>
      <c r="D33">
        <f t="shared" si="11"/>
        <v>1</v>
      </c>
    </row>
    <row r="34" ht="15.75" customHeight="1">
      <c r="A34" t="s">
        <v>551</v>
      </c>
      <c r="B34" t="s">
        <v>551</v>
      </c>
      <c r="C34">
        <v>1.0</v>
      </c>
      <c r="D34">
        <f t="shared" si="11"/>
        <v>1</v>
      </c>
    </row>
    <row r="35" ht="15.75" customHeight="1">
      <c r="A35" t="s">
        <v>550</v>
      </c>
      <c r="B35" t="s">
        <v>550</v>
      </c>
      <c r="C35">
        <v>1.0</v>
      </c>
      <c r="D35">
        <f t="shared" si="11"/>
        <v>1</v>
      </c>
    </row>
    <row r="36" ht="15.75" customHeight="1">
      <c r="A36" t="s">
        <v>537</v>
      </c>
      <c r="B36" t="s">
        <v>164</v>
      </c>
      <c r="C36">
        <v>4.0</v>
      </c>
      <c r="D36">
        <f t="shared" si="11"/>
        <v>0</v>
      </c>
    </row>
    <row r="37" ht="15.75" customHeight="1">
      <c r="A37" t="s">
        <v>549</v>
      </c>
      <c r="B37" t="s">
        <v>563</v>
      </c>
      <c r="C37">
        <v>4.0</v>
      </c>
      <c r="D37">
        <f t="shared" si="11"/>
        <v>0</v>
      </c>
    </row>
    <row r="38" ht="15.75" customHeight="1">
      <c r="A38" t="s">
        <v>546</v>
      </c>
      <c r="B38" t="s">
        <v>164</v>
      </c>
      <c r="C38">
        <v>3.0</v>
      </c>
      <c r="D38">
        <f t="shared" si="11"/>
        <v>0</v>
      </c>
    </row>
    <row r="39" ht="15.75" customHeight="1">
      <c r="A39" t="s">
        <v>548</v>
      </c>
      <c r="B39" t="s">
        <v>597</v>
      </c>
      <c r="C39">
        <v>2.0</v>
      </c>
      <c r="D39">
        <f t="shared" si="11"/>
        <v>0</v>
      </c>
    </row>
    <row r="40" ht="15.75" customHeight="1">
      <c r="A40" t="s">
        <v>543</v>
      </c>
      <c r="B40" t="s">
        <v>197</v>
      </c>
      <c r="C40">
        <v>1.0</v>
      </c>
      <c r="D40">
        <f t="shared" si="11"/>
        <v>0</v>
      </c>
    </row>
    <row r="41" ht="15.75" customHeight="1">
      <c r="A41" t="s">
        <v>29</v>
      </c>
      <c r="B41" t="s">
        <v>253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5">
    <mergeCell ref="A12:A13"/>
    <mergeCell ref="A4:A5"/>
    <mergeCell ref="A1:D1"/>
    <mergeCell ref="A3:F3"/>
    <mergeCell ref="H3:J3"/>
    <mergeCell ref="A6:F7"/>
    <mergeCell ref="H6:J7"/>
    <mergeCell ref="A8:A9"/>
    <mergeCell ref="A10:F11"/>
    <mergeCell ref="A18:F19"/>
    <mergeCell ref="A20:A21"/>
    <mergeCell ref="A14:F15"/>
    <mergeCell ref="H10:J11"/>
    <mergeCell ref="H14:J15"/>
    <mergeCell ref="H18:J19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40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9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42">
      <formula1>INDIRECT($A$42)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2.14"/>
    <col customWidth="1" min="2" max="2" width="36.29"/>
    <col customWidth="1" min="3" max="9" width="8.71"/>
    <col customWidth="1" min="10" max="10" width="21.57"/>
    <col customWidth="1" min="11" max="26" width="8.71"/>
  </cols>
  <sheetData>
    <row r="1">
      <c r="A1" s="2" t="s">
        <v>159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546</v>
      </c>
      <c r="C4" s="1" t="s">
        <v>29</v>
      </c>
      <c r="D4" s="1" t="s">
        <v>549</v>
      </c>
      <c r="E4" s="1" t="s">
        <v>29</v>
      </c>
      <c r="F4" s="1" t="s">
        <v>29</v>
      </c>
      <c r="G4" s="30"/>
      <c r="H4" s="1" t="s">
        <v>29</v>
      </c>
      <c r="I4" s="1" t="s">
        <v>29</v>
      </c>
      <c r="J4" s="1" t="s">
        <v>29</v>
      </c>
    </row>
    <row r="5">
      <c r="B5" s="11" t="str">
        <f t="shared" ref="B5:F5" si="1">VLOOKUP(B4,$A$26:$B$43,2,FALSE)</f>
        <v>Ashmita Chatterjee</v>
      </c>
      <c r="C5" s="11" t="str">
        <f t="shared" si="1"/>
        <v>-</v>
      </c>
      <c r="D5" s="11" t="str">
        <f t="shared" si="1"/>
        <v>Sukhvinder Madhok/Debarati Banerjee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VLOOKUP(H4,$A$26:$B$43,2,FALSE)</f>
        <v>-</v>
      </c>
      <c r="I5" t="str">
        <f t="shared" si="2"/>
        <v>-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538</v>
      </c>
      <c r="C8" s="1" t="s">
        <v>29</v>
      </c>
      <c r="D8" s="1" t="s">
        <v>549</v>
      </c>
      <c r="E8" s="1" t="s">
        <v>29</v>
      </c>
      <c r="F8" s="1" t="s">
        <v>29</v>
      </c>
      <c r="H8" s="1" t="s">
        <v>29</v>
      </c>
      <c r="I8" s="1" t="s">
        <v>29</v>
      </c>
      <c r="J8" s="1" t="s">
        <v>29</v>
      </c>
    </row>
    <row r="9">
      <c r="B9" t="str">
        <f t="shared" ref="B9:F9" si="3">VLOOKUP(B8,$A$26:$B$43,2,FALSE)</f>
        <v>Ashmita Chatterjee</v>
      </c>
      <c r="C9" t="str">
        <f t="shared" si="3"/>
        <v>-</v>
      </c>
      <c r="D9" t="str">
        <f t="shared" si="3"/>
        <v>Sukhvinder Madhok/Debarati Banerjee</v>
      </c>
      <c r="E9" t="str">
        <f t="shared" si="3"/>
        <v>-</v>
      </c>
      <c r="F9" t="str">
        <f t="shared" si="3"/>
        <v>-</v>
      </c>
      <c r="G9" s="30"/>
      <c r="H9" t="str">
        <f t="shared" ref="H9:J9" si="4">VLOOKUP(H8,$A$26:$B$43,2,FALSE)</f>
        <v>-</v>
      </c>
      <c r="I9" t="str">
        <f t="shared" si="4"/>
        <v>-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546</v>
      </c>
      <c r="C12" s="1" t="s">
        <v>29</v>
      </c>
      <c r="D12" s="1" t="s">
        <v>29</v>
      </c>
      <c r="E12" s="1" t="s">
        <v>29</v>
      </c>
      <c r="F12" s="1" t="s">
        <v>29</v>
      </c>
      <c r="G12" s="30"/>
      <c r="H12" s="1" t="s">
        <v>549</v>
      </c>
      <c r="I12" s="1" t="s">
        <v>29</v>
      </c>
      <c r="J12" s="1" t="s">
        <v>548</v>
      </c>
    </row>
    <row r="13">
      <c r="B13" t="str">
        <f t="shared" ref="B13:F13" si="5">VLOOKUP(B12,$A$26:$B$43,2,FALSE)</f>
        <v>Ashmita Chatterjee</v>
      </c>
      <c r="C13" t="str">
        <f t="shared" si="5"/>
        <v>-</v>
      </c>
      <c r="D13" t="str">
        <f t="shared" si="5"/>
        <v>-</v>
      </c>
      <c r="E13" t="str">
        <f t="shared" si="5"/>
        <v>-</v>
      </c>
      <c r="F13" t="str">
        <f t="shared" si="5"/>
        <v>-</v>
      </c>
      <c r="G13" s="30"/>
      <c r="H13" t="str">
        <f t="shared" ref="H13:J13" si="6">VLOOKUP(H12,$A$26:$B$43,2,FALSE)</f>
        <v>Sukhvinder Madhok/Debarati Banerjee</v>
      </c>
      <c r="I13" t="str">
        <f t="shared" si="6"/>
        <v>-</v>
      </c>
      <c r="J13" t="str">
        <f t="shared" si="6"/>
        <v>Sukhvinder Madhok/Debarati Banerjee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538</v>
      </c>
      <c r="C16" s="1" t="s">
        <v>29</v>
      </c>
      <c r="D16" s="1" t="s">
        <v>29</v>
      </c>
      <c r="E16" s="1" t="s">
        <v>29</v>
      </c>
      <c r="F16" s="1" t="s">
        <v>29</v>
      </c>
      <c r="G16" s="30"/>
      <c r="H16" s="1" t="s">
        <v>29</v>
      </c>
      <c r="I16" s="1" t="s">
        <v>29</v>
      </c>
      <c r="J16" s="1" t="s">
        <v>543</v>
      </c>
    </row>
    <row r="17">
      <c r="B17" t="str">
        <f t="shared" ref="B17:F17" si="7">VLOOKUP(B16,$A$26:$B$43,2,FALSE)</f>
        <v>Ashmita Chatterjee</v>
      </c>
      <c r="C17" t="str">
        <f t="shared" si="7"/>
        <v>-</v>
      </c>
      <c r="D17" t="str">
        <f t="shared" si="7"/>
        <v>-</v>
      </c>
      <c r="E17" t="str">
        <f t="shared" si="7"/>
        <v>-</v>
      </c>
      <c r="F17" t="str">
        <f t="shared" si="7"/>
        <v>-</v>
      </c>
      <c r="G17" s="30"/>
      <c r="H17" t="str">
        <f t="shared" ref="H17:J17" si="8">VLOOKUP(H16,$A$26:$B$43,2,FALSE)</f>
        <v>-</v>
      </c>
      <c r="I17" t="str">
        <f t="shared" si="8"/>
        <v>-</v>
      </c>
      <c r="J17" t="str">
        <f t="shared" si="8"/>
        <v>Peter Gomes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546</v>
      </c>
      <c r="C20" s="1" t="s">
        <v>29</v>
      </c>
      <c r="D20" s="1" t="s">
        <v>549</v>
      </c>
      <c r="E20" s="1" t="s">
        <v>548</v>
      </c>
      <c r="F20" s="1" t="s">
        <v>29</v>
      </c>
      <c r="G20" s="30"/>
      <c r="H20" s="1" t="s">
        <v>29</v>
      </c>
      <c r="I20" s="1" t="s">
        <v>29</v>
      </c>
      <c r="J20" s="1" t="s">
        <v>29</v>
      </c>
    </row>
    <row r="21" ht="15.75" customHeight="1">
      <c r="B21" t="str">
        <f t="shared" ref="B21:F21" si="9">VLOOKUP(B20,$A$26:$B$43,2,FALSE)</f>
        <v>Ashmita Chatterjee</v>
      </c>
      <c r="C21" t="str">
        <f t="shared" si="9"/>
        <v>-</v>
      </c>
      <c r="D21" t="str">
        <f t="shared" si="9"/>
        <v>Sukhvinder Madhok/Debarati Banerjee</v>
      </c>
      <c r="E21" t="str">
        <f t="shared" si="9"/>
        <v>Sukhvinder Madhok/Debarati Banerjee</v>
      </c>
      <c r="F21" t="str">
        <f t="shared" si="9"/>
        <v>-</v>
      </c>
      <c r="G21" s="30"/>
      <c r="H21" t="str">
        <f t="shared" ref="H21:J21" si="10">VLOOKUP(H20,$A$26:$B$43,2,FALSE)</f>
        <v>-</v>
      </c>
      <c r="I21" t="str">
        <f t="shared" si="10"/>
        <v>-</v>
      </c>
      <c r="J21" t="str">
        <f t="shared" si="10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187</v>
      </c>
      <c r="C26">
        <v>5.0</v>
      </c>
      <c r="D26">
        <f t="shared" ref="D26:D40" si="11">$C26-COUNTIF($A$4:$J$21,$A26)</f>
        <v>5</v>
      </c>
    </row>
    <row r="27" ht="15.75" customHeight="1">
      <c r="A27" t="s">
        <v>537</v>
      </c>
      <c r="B27" t="s">
        <v>27</v>
      </c>
      <c r="C27">
        <v>4.0</v>
      </c>
      <c r="D27">
        <f t="shared" si="11"/>
        <v>4</v>
      </c>
    </row>
    <row r="28" ht="15.75" customHeight="1">
      <c r="A28" t="s">
        <v>542</v>
      </c>
      <c r="B28" t="s">
        <v>59</v>
      </c>
      <c r="C28">
        <v>4.0</v>
      </c>
      <c r="D28">
        <f t="shared" si="11"/>
        <v>4</v>
      </c>
    </row>
    <row r="29" ht="15.75" customHeight="1">
      <c r="A29" t="s">
        <v>534</v>
      </c>
      <c r="B29" t="s">
        <v>156</v>
      </c>
      <c r="C29">
        <v>3.0</v>
      </c>
      <c r="D29">
        <f t="shared" si="11"/>
        <v>3</v>
      </c>
    </row>
    <row r="30" ht="15.75" customHeight="1">
      <c r="A30" t="s">
        <v>547</v>
      </c>
      <c r="B30" t="s">
        <v>363</v>
      </c>
      <c r="C30">
        <v>3.0</v>
      </c>
      <c r="D30">
        <f t="shared" si="11"/>
        <v>3</v>
      </c>
    </row>
    <row r="31" ht="15.75" customHeight="1">
      <c r="A31" t="s">
        <v>544</v>
      </c>
      <c r="B31" t="s">
        <v>123</v>
      </c>
      <c r="C31">
        <v>3.0</v>
      </c>
      <c r="D31">
        <f t="shared" si="11"/>
        <v>3</v>
      </c>
    </row>
    <row r="32" ht="15.75" customHeight="1">
      <c r="A32" t="s">
        <v>538</v>
      </c>
      <c r="B32" t="s">
        <v>71</v>
      </c>
      <c r="C32">
        <v>4.0</v>
      </c>
      <c r="D32">
        <f t="shared" si="11"/>
        <v>2</v>
      </c>
    </row>
    <row r="33" ht="15.75" customHeight="1">
      <c r="A33" t="s">
        <v>545</v>
      </c>
      <c r="B33" t="s">
        <v>234</v>
      </c>
      <c r="C33">
        <v>1.0</v>
      </c>
      <c r="D33">
        <f t="shared" si="11"/>
        <v>1</v>
      </c>
    </row>
    <row r="34" ht="15.75" customHeight="1">
      <c r="A34" t="s">
        <v>1</v>
      </c>
      <c r="B34" t="s">
        <v>1</v>
      </c>
      <c r="C34">
        <v>1.0</v>
      </c>
      <c r="D34">
        <f t="shared" si="11"/>
        <v>1</v>
      </c>
    </row>
    <row r="35" ht="15.75" customHeight="1">
      <c r="A35" t="s">
        <v>550</v>
      </c>
      <c r="B35" t="s">
        <v>550</v>
      </c>
      <c r="C35">
        <v>1.0</v>
      </c>
      <c r="D35">
        <f t="shared" si="11"/>
        <v>1</v>
      </c>
    </row>
    <row r="36" ht="15.75" customHeight="1">
      <c r="A36" t="s">
        <v>551</v>
      </c>
      <c r="B36" t="s">
        <v>551</v>
      </c>
      <c r="C36">
        <v>1.0</v>
      </c>
      <c r="D36">
        <f t="shared" si="11"/>
        <v>1</v>
      </c>
    </row>
    <row r="37" ht="15.75" customHeight="1">
      <c r="A37" t="s">
        <v>549</v>
      </c>
      <c r="B37" t="s">
        <v>590</v>
      </c>
      <c r="C37">
        <v>4.0</v>
      </c>
      <c r="D37">
        <f t="shared" si="11"/>
        <v>0</v>
      </c>
    </row>
    <row r="38" ht="15.75" customHeight="1">
      <c r="A38" t="s">
        <v>546</v>
      </c>
      <c r="B38" t="s">
        <v>71</v>
      </c>
      <c r="C38">
        <v>3.0</v>
      </c>
      <c r="D38">
        <f t="shared" si="11"/>
        <v>0</v>
      </c>
    </row>
    <row r="39" ht="15.75" customHeight="1">
      <c r="A39" t="s">
        <v>548</v>
      </c>
      <c r="B39" t="s">
        <v>590</v>
      </c>
      <c r="C39">
        <v>2.0</v>
      </c>
      <c r="D39">
        <f t="shared" si="11"/>
        <v>0</v>
      </c>
    </row>
    <row r="40" ht="15.75" customHeight="1">
      <c r="A40" t="s">
        <v>543</v>
      </c>
      <c r="B40" t="s">
        <v>197</v>
      </c>
      <c r="C40">
        <v>1.0</v>
      </c>
      <c r="D40">
        <f t="shared" si="11"/>
        <v>0</v>
      </c>
    </row>
    <row r="41" ht="15.75" customHeight="1">
      <c r="A41" t="s">
        <v>29</v>
      </c>
      <c r="B41" t="s">
        <v>253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4:F15"/>
    <mergeCell ref="H14:J15"/>
    <mergeCell ref="A16:A17"/>
    <mergeCell ref="A18:F19"/>
    <mergeCell ref="H18:J19"/>
    <mergeCell ref="A20:A21"/>
    <mergeCell ref="H10:J11"/>
    <mergeCell ref="A10:F11"/>
    <mergeCell ref="A12:A13"/>
    <mergeCell ref="A6:F7"/>
    <mergeCell ref="A1:D1"/>
    <mergeCell ref="A3:F3"/>
    <mergeCell ref="A4:A5"/>
    <mergeCell ref="H3:J3"/>
    <mergeCell ref="H6:J7"/>
    <mergeCell ref="A8:A9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40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9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42">
      <formula1>INDIRECT($A$42)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36.29"/>
    <col customWidth="1" min="3" max="26" width="8.71"/>
  </cols>
  <sheetData>
    <row r="1">
      <c r="A1" s="2" t="s">
        <v>162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546</v>
      </c>
      <c r="C4" s="1" t="s">
        <v>29</v>
      </c>
      <c r="D4" s="1" t="s">
        <v>29</v>
      </c>
      <c r="E4" s="1" t="s">
        <v>29</v>
      </c>
      <c r="F4" s="1" t="s">
        <v>29</v>
      </c>
      <c r="G4" s="30"/>
      <c r="H4" s="1" t="s">
        <v>537</v>
      </c>
      <c r="I4" s="1" t="s">
        <v>29</v>
      </c>
      <c r="J4" s="1" t="s">
        <v>543</v>
      </c>
    </row>
    <row r="5">
      <c r="B5" t="str">
        <f t="shared" ref="B5:F5" si="1">VLOOKUP(B4,$A$26:$B$41,2,FALSE)</f>
        <v>Labanya Chakraborty</v>
      </c>
      <c r="C5" t="str">
        <f t="shared" si="1"/>
        <v>-</v>
      </c>
      <c r="D5" s="11" t="str">
        <f t="shared" si="1"/>
        <v>-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VLOOKUP(H4,$A$26:$B$41,2,FALSE)</f>
        <v>Labanya Chakraborty</v>
      </c>
      <c r="I5" t="str">
        <f t="shared" si="2"/>
        <v>-</v>
      </c>
      <c r="J5" t="str">
        <f t="shared" si="2"/>
        <v>Peter Gomes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537</v>
      </c>
      <c r="C8" s="1" t="s">
        <v>29</v>
      </c>
      <c r="D8" s="1" t="s">
        <v>29</v>
      </c>
      <c r="E8" s="1" t="s">
        <v>29</v>
      </c>
      <c r="F8" s="1" t="s">
        <v>29</v>
      </c>
      <c r="G8" s="30"/>
      <c r="H8" s="1" t="s">
        <v>29</v>
      </c>
      <c r="I8" s="1" t="s">
        <v>29</v>
      </c>
      <c r="J8" s="1" t="s">
        <v>549</v>
      </c>
    </row>
    <row r="9">
      <c r="B9" t="str">
        <f t="shared" ref="B9:F9" si="3">VLOOKUP(B8,$A$26:$B$41,2,FALSE)</f>
        <v>Labanya Chakraborty</v>
      </c>
      <c r="C9" t="str">
        <f t="shared" si="3"/>
        <v>-</v>
      </c>
      <c r="D9" t="str">
        <f t="shared" si="3"/>
        <v>-</v>
      </c>
      <c r="E9" t="str">
        <f t="shared" si="3"/>
        <v>-</v>
      </c>
      <c r="F9" t="str">
        <f t="shared" si="3"/>
        <v>-</v>
      </c>
      <c r="G9" s="30"/>
      <c r="H9" t="str">
        <f t="shared" ref="H9:J9" si="4">VLOOKUP(H8,$A$26:$B$41,2,FALSE)</f>
        <v>-</v>
      </c>
      <c r="I9" t="str">
        <f t="shared" si="4"/>
        <v>-</v>
      </c>
      <c r="J9" t="str">
        <f t="shared" si="4"/>
        <v>Rekha Shaw/Lina Mondal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546</v>
      </c>
      <c r="C12" s="1" t="s">
        <v>29</v>
      </c>
      <c r="D12" s="1" t="s">
        <v>29</v>
      </c>
      <c r="E12" s="1" t="s">
        <v>549</v>
      </c>
      <c r="F12" s="1" t="s">
        <v>29</v>
      </c>
      <c r="G12" s="30"/>
      <c r="H12" s="1" t="s">
        <v>29</v>
      </c>
      <c r="I12" s="1" t="s">
        <v>548</v>
      </c>
      <c r="J12" s="1" t="s">
        <v>29</v>
      </c>
    </row>
    <row r="13">
      <c r="B13" t="str">
        <f t="shared" ref="B13:F13" si="5">VLOOKUP(B12,$A$26:$B$41,2,FALSE)</f>
        <v>Labanya Chakraborty</v>
      </c>
      <c r="C13" t="str">
        <f t="shared" si="5"/>
        <v>-</v>
      </c>
      <c r="D13" t="str">
        <f t="shared" si="5"/>
        <v>-</v>
      </c>
      <c r="E13" t="str">
        <f t="shared" si="5"/>
        <v>Rekha Shaw/Lina Mondal</v>
      </c>
      <c r="F13" t="str">
        <f t="shared" si="5"/>
        <v>-</v>
      </c>
      <c r="G13" s="30"/>
      <c r="H13" t="str">
        <f t="shared" ref="H13:J13" si="6">VLOOKUP(H12,$A$26:$B$41,2,FALSE)</f>
        <v>-</v>
      </c>
      <c r="I13" t="str">
        <f t="shared" si="6"/>
        <v>Sukhvinder Madhok/Debarati Banerjee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537</v>
      </c>
      <c r="C16" s="1" t="s">
        <v>549</v>
      </c>
      <c r="D16" s="1" t="s">
        <v>29</v>
      </c>
      <c r="E16" s="1" t="s">
        <v>29</v>
      </c>
      <c r="F16" s="1" t="s">
        <v>29</v>
      </c>
      <c r="G16" s="30"/>
      <c r="H16" s="1" t="s">
        <v>29</v>
      </c>
      <c r="I16" s="1" t="s">
        <v>548</v>
      </c>
      <c r="J16" s="1" t="s">
        <v>29</v>
      </c>
    </row>
    <row r="17">
      <c r="B17" t="str">
        <f t="shared" ref="B17:F17" si="7">VLOOKUP(B16,$A$26:$B$41,2,FALSE)</f>
        <v>Labanya Chakraborty</v>
      </c>
      <c r="C17" t="str">
        <f t="shared" si="7"/>
        <v>Rekha Shaw/Lina Mondal</v>
      </c>
      <c r="D17" t="str">
        <f t="shared" si="7"/>
        <v>-</v>
      </c>
      <c r="E17" t="str">
        <f t="shared" si="7"/>
        <v>-</v>
      </c>
      <c r="F17" t="str">
        <f t="shared" si="7"/>
        <v>-</v>
      </c>
      <c r="G17" s="30"/>
      <c r="H17" t="str">
        <f t="shared" ref="H17:J17" si="8">VLOOKUP(H16,$A$26:$B$41,2,FALSE)</f>
        <v>-</v>
      </c>
      <c r="I17" t="str">
        <f t="shared" si="8"/>
        <v>Sukhvinder Madhok/Debarati Banerjee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546</v>
      </c>
      <c r="C20" s="1" t="s">
        <v>29</v>
      </c>
      <c r="D20" s="1" t="s">
        <v>537</v>
      </c>
      <c r="E20" s="1" t="s">
        <v>29</v>
      </c>
      <c r="F20" s="1" t="s">
        <v>29</v>
      </c>
      <c r="G20" s="30"/>
      <c r="H20" s="1" t="s">
        <v>29</v>
      </c>
      <c r="I20" s="1" t="s">
        <v>549</v>
      </c>
      <c r="J20" s="1" t="s">
        <v>29</v>
      </c>
    </row>
    <row r="21" ht="15.75" customHeight="1">
      <c r="B21" t="str">
        <f t="shared" ref="B21:F21" si="9">VLOOKUP(B20,$A$26:$B$41,2,FALSE)</f>
        <v>Labanya Chakraborty</v>
      </c>
      <c r="C21" t="str">
        <f t="shared" si="9"/>
        <v>-</v>
      </c>
      <c r="D21" t="str">
        <f t="shared" si="9"/>
        <v>Labanya Chakraborty</v>
      </c>
      <c r="E21" t="str">
        <f t="shared" si="9"/>
        <v>-</v>
      </c>
      <c r="F21" t="str">
        <f t="shared" si="9"/>
        <v>-</v>
      </c>
      <c r="G21" s="30"/>
      <c r="H21" t="str">
        <f t="shared" ref="H21:J21" si="10">VLOOKUP(H20,$A$26:$B$41,2,FALSE)</f>
        <v>-</v>
      </c>
      <c r="I21" t="str">
        <f t="shared" si="10"/>
        <v>Rekha Shaw/Lina Mondal</v>
      </c>
      <c r="J21" t="str">
        <f t="shared" si="10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187</v>
      </c>
      <c r="C26">
        <v>5.0</v>
      </c>
      <c r="D26">
        <f t="shared" ref="D26:D40" si="11">$C26-COUNTIF($A$4:$J$21,$A26)</f>
        <v>5</v>
      </c>
    </row>
    <row r="27" ht="15.75" customHeight="1">
      <c r="A27" t="s">
        <v>538</v>
      </c>
      <c r="B27" t="s">
        <v>321</v>
      </c>
      <c r="C27">
        <v>4.0</v>
      </c>
      <c r="D27">
        <f t="shared" si="11"/>
        <v>4</v>
      </c>
    </row>
    <row r="28" ht="15.75" customHeight="1">
      <c r="A28" t="s">
        <v>542</v>
      </c>
      <c r="B28" t="s">
        <v>118</v>
      </c>
      <c r="C28">
        <v>4.0</v>
      </c>
      <c r="D28">
        <f t="shared" si="11"/>
        <v>4</v>
      </c>
    </row>
    <row r="29" ht="15.75" customHeight="1">
      <c r="A29" t="s">
        <v>544</v>
      </c>
      <c r="B29" t="s">
        <v>248</v>
      </c>
      <c r="C29">
        <v>3.0</v>
      </c>
      <c r="D29">
        <f t="shared" si="11"/>
        <v>3</v>
      </c>
    </row>
    <row r="30" ht="15.75" customHeight="1">
      <c r="A30" t="s">
        <v>534</v>
      </c>
      <c r="B30" t="s">
        <v>252</v>
      </c>
      <c r="C30">
        <v>3.0</v>
      </c>
      <c r="D30">
        <f t="shared" si="11"/>
        <v>3</v>
      </c>
    </row>
    <row r="31" ht="15.75" customHeight="1">
      <c r="A31" t="s">
        <v>547</v>
      </c>
      <c r="B31" t="s">
        <v>116</v>
      </c>
      <c r="C31">
        <v>3.0</v>
      </c>
      <c r="D31">
        <f t="shared" si="11"/>
        <v>3</v>
      </c>
    </row>
    <row r="32" ht="15.75" customHeight="1">
      <c r="A32" t="s">
        <v>545</v>
      </c>
      <c r="B32" t="s">
        <v>234</v>
      </c>
      <c r="C32">
        <v>1.0</v>
      </c>
      <c r="D32">
        <f t="shared" si="11"/>
        <v>1</v>
      </c>
    </row>
    <row r="33" ht="15.75" customHeight="1">
      <c r="A33" t="s">
        <v>1</v>
      </c>
      <c r="B33" t="s">
        <v>1</v>
      </c>
      <c r="C33">
        <v>1.0</v>
      </c>
      <c r="D33">
        <f t="shared" si="11"/>
        <v>1</v>
      </c>
    </row>
    <row r="34" ht="15.75" customHeight="1">
      <c r="A34" t="s">
        <v>550</v>
      </c>
      <c r="B34" t="s">
        <v>550</v>
      </c>
      <c r="C34">
        <v>1.0</v>
      </c>
      <c r="D34">
        <f t="shared" si="11"/>
        <v>1</v>
      </c>
    </row>
    <row r="35" ht="15.75" customHeight="1">
      <c r="A35" t="s">
        <v>551</v>
      </c>
      <c r="B35" t="s">
        <v>551</v>
      </c>
      <c r="C35">
        <v>1.0</v>
      </c>
      <c r="D35">
        <f t="shared" si="11"/>
        <v>1</v>
      </c>
    </row>
    <row r="36" ht="15.75" customHeight="1">
      <c r="A36" t="s">
        <v>537</v>
      </c>
      <c r="B36" t="s">
        <v>123</v>
      </c>
      <c r="C36">
        <v>4.0</v>
      </c>
      <c r="D36">
        <f t="shared" si="11"/>
        <v>0</v>
      </c>
    </row>
    <row r="37" ht="15.75" customHeight="1">
      <c r="A37" t="s">
        <v>549</v>
      </c>
      <c r="B37" t="s">
        <v>563</v>
      </c>
      <c r="C37">
        <v>4.0</v>
      </c>
      <c r="D37">
        <f t="shared" si="11"/>
        <v>0</v>
      </c>
    </row>
    <row r="38" ht="15.75" customHeight="1">
      <c r="A38" t="s">
        <v>546</v>
      </c>
      <c r="B38" t="s">
        <v>123</v>
      </c>
      <c r="C38">
        <v>3.0</v>
      </c>
      <c r="D38">
        <f t="shared" si="11"/>
        <v>0</v>
      </c>
    </row>
    <row r="39" ht="15.75" customHeight="1">
      <c r="A39" t="s">
        <v>548</v>
      </c>
      <c r="B39" t="s">
        <v>590</v>
      </c>
      <c r="C39">
        <v>2.0</v>
      </c>
      <c r="D39">
        <f t="shared" si="11"/>
        <v>0</v>
      </c>
    </row>
    <row r="40" ht="15.75" customHeight="1">
      <c r="A40" t="s">
        <v>543</v>
      </c>
      <c r="B40" t="s">
        <v>197</v>
      </c>
      <c r="C40">
        <v>1.0</v>
      </c>
      <c r="D40">
        <f t="shared" si="11"/>
        <v>0</v>
      </c>
    </row>
    <row r="41" ht="15.75" customHeight="1">
      <c r="A41" t="s">
        <v>29</v>
      </c>
      <c r="B41" t="s">
        <v>253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40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9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36.29"/>
    <col customWidth="1" min="3" max="26" width="8.71"/>
  </cols>
  <sheetData>
    <row r="1">
      <c r="A1" s="2" t="s">
        <v>165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546</v>
      </c>
      <c r="C4" s="1" t="s">
        <v>29</v>
      </c>
      <c r="D4" s="1" t="s">
        <v>29</v>
      </c>
      <c r="E4" s="1" t="s">
        <v>542</v>
      </c>
      <c r="F4" s="1" t="s">
        <v>29</v>
      </c>
      <c r="G4" s="30"/>
      <c r="H4" s="1" t="s">
        <v>29</v>
      </c>
      <c r="I4" s="1" t="s">
        <v>29</v>
      </c>
      <c r="J4" s="1" t="s">
        <v>543</v>
      </c>
    </row>
    <row r="5">
      <c r="B5" t="str">
        <f t="shared" ref="B5:F5" si="1">VLOOKUP(B4,$A$26:$B$41,2,FALSE)</f>
        <v>Debarshi Chakraborty</v>
      </c>
      <c r="C5" t="str">
        <f t="shared" si="1"/>
        <v>-</v>
      </c>
      <c r="D5" s="11" t="str">
        <f t="shared" si="1"/>
        <v>-</v>
      </c>
      <c r="E5" s="11" t="str">
        <f t="shared" si="1"/>
        <v>Debarshi Chakraborty</v>
      </c>
      <c r="F5" s="11" t="str">
        <f t="shared" si="1"/>
        <v>-</v>
      </c>
      <c r="G5" s="30"/>
      <c r="H5" t="str">
        <f t="shared" ref="H5:J5" si="2">VLOOKUP(H4,$A$26:$B$41,2,FALSE)</f>
        <v>-</v>
      </c>
      <c r="I5" t="str">
        <f t="shared" si="2"/>
        <v>-</v>
      </c>
      <c r="J5" t="str">
        <f t="shared" si="2"/>
        <v>Peter Gomes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542</v>
      </c>
      <c r="C8" s="1" t="s">
        <v>29</v>
      </c>
      <c r="D8" s="1" t="s">
        <v>29</v>
      </c>
      <c r="E8" s="1" t="s">
        <v>29</v>
      </c>
      <c r="F8" s="1" t="s">
        <v>29</v>
      </c>
      <c r="G8" s="30"/>
      <c r="H8" s="1" t="s">
        <v>29</v>
      </c>
      <c r="I8" s="1" t="s">
        <v>29</v>
      </c>
      <c r="J8" s="1" t="s">
        <v>549</v>
      </c>
    </row>
    <row r="9">
      <c r="B9" t="str">
        <f t="shared" ref="B9:F9" si="3">VLOOKUP(B8,$A$26:$B$41,2,FALSE)</f>
        <v>Debarshi Chakraborty</v>
      </c>
      <c r="C9" t="str">
        <f t="shared" si="3"/>
        <v>-</v>
      </c>
      <c r="D9" t="str">
        <f t="shared" si="3"/>
        <v>-</v>
      </c>
      <c r="E9" t="str">
        <f t="shared" si="3"/>
        <v>-</v>
      </c>
      <c r="F9" t="str">
        <f t="shared" si="3"/>
        <v>-</v>
      </c>
      <c r="G9" s="30"/>
      <c r="H9" t="str">
        <f t="shared" ref="H9:J9" si="4">VLOOKUP(H8,$A$26:$B$41,2,FALSE)</f>
        <v>-</v>
      </c>
      <c r="I9" t="str">
        <f t="shared" si="4"/>
        <v>-</v>
      </c>
      <c r="J9" t="str">
        <f t="shared" si="4"/>
        <v>Rekha Shaw/Lina Mondal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546</v>
      </c>
      <c r="C12" s="1" t="s">
        <v>29</v>
      </c>
      <c r="D12" s="1" t="s">
        <v>29</v>
      </c>
      <c r="E12" s="1" t="s">
        <v>549</v>
      </c>
      <c r="F12" s="1" t="s">
        <v>29</v>
      </c>
      <c r="G12" s="30"/>
      <c r="H12" s="1" t="s">
        <v>29</v>
      </c>
      <c r="I12" s="1" t="s">
        <v>548</v>
      </c>
      <c r="J12" s="1" t="s">
        <v>29</v>
      </c>
    </row>
    <row r="13">
      <c r="B13" t="str">
        <f t="shared" ref="B13:F13" si="5">VLOOKUP(B12,$A$26:$B$41,2,FALSE)</f>
        <v>Debarshi Chakraborty</v>
      </c>
      <c r="C13" t="str">
        <f t="shared" si="5"/>
        <v>-</v>
      </c>
      <c r="D13" t="str">
        <f t="shared" si="5"/>
        <v>-</v>
      </c>
      <c r="E13" t="str">
        <f t="shared" si="5"/>
        <v>Rekha Shaw/Lina Mondal</v>
      </c>
      <c r="F13" t="str">
        <f t="shared" si="5"/>
        <v>-</v>
      </c>
      <c r="G13" s="30"/>
      <c r="H13" t="str">
        <f t="shared" ref="H13:J13" si="6">VLOOKUP(H12,$A$26:$B$41,2,FALSE)</f>
        <v>-</v>
      </c>
      <c r="I13" t="str">
        <f t="shared" si="6"/>
        <v>Sukhvinder Madhok/Debarati Banerjee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542</v>
      </c>
      <c r="C16" s="1" t="s">
        <v>549</v>
      </c>
      <c r="D16" s="1" t="s">
        <v>29</v>
      </c>
      <c r="E16" s="1" t="s">
        <v>29</v>
      </c>
      <c r="F16" s="1" t="s">
        <v>29</v>
      </c>
      <c r="G16" s="30"/>
      <c r="H16" s="1" t="s">
        <v>29</v>
      </c>
      <c r="I16" s="1" t="s">
        <v>548</v>
      </c>
      <c r="J16" s="1" t="s">
        <v>29</v>
      </c>
    </row>
    <row r="17">
      <c r="B17" t="str">
        <f t="shared" ref="B17:F17" si="7">VLOOKUP(B16,$A$26:$B$41,2,FALSE)</f>
        <v>Debarshi Chakraborty</v>
      </c>
      <c r="C17" t="str">
        <f t="shared" si="7"/>
        <v>Rekha Shaw/Lina Mondal</v>
      </c>
      <c r="D17" t="str">
        <f t="shared" si="7"/>
        <v>-</v>
      </c>
      <c r="E17" t="str">
        <f t="shared" si="7"/>
        <v>-</v>
      </c>
      <c r="F17" t="str">
        <f t="shared" si="7"/>
        <v>-</v>
      </c>
      <c r="G17" s="30"/>
      <c r="H17" t="str">
        <f t="shared" ref="H17:J17" si="8">VLOOKUP(H16,$A$26:$B$41,2,FALSE)</f>
        <v>-</v>
      </c>
      <c r="I17" t="str">
        <f t="shared" si="8"/>
        <v>Sukhvinder Madhok/Debarati Banerjee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546</v>
      </c>
      <c r="C20" s="1" t="s">
        <v>29</v>
      </c>
      <c r="D20" s="1" t="s">
        <v>29</v>
      </c>
      <c r="E20" s="1" t="s">
        <v>29</v>
      </c>
      <c r="F20" s="1" t="s">
        <v>542</v>
      </c>
      <c r="G20" s="30"/>
      <c r="H20" s="1" t="s">
        <v>29</v>
      </c>
      <c r="I20" s="1" t="s">
        <v>549</v>
      </c>
      <c r="J20" s="1" t="s">
        <v>29</v>
      </c>
    </row>
    <row r="21" ht="15.75" customHeight="1">
      <c r="B21" t="str">
        <f t="shared" ref="B21:F21" si="9">VLOOKUP(B20,$A$26:$B$41,2,FALSE)</f>
        <v>Debarshi Chakraborty</v>
      </c>
      <c r="C21" t="str">
        <f t="shared" si="9"/>
        <v>-</v>
      </c>
      <c r="D21" t="str">
        <f t="shared" si="9"/>
        <v>-</v>
      </c>
      <c r="E21" t="str">
        <f t="shared" si="9"/>
        <v>-</v>
      </c>
      <c r="F21" t="str">
        <f t="shared" si="9"/>
        <v>Debarshi Chakraborty</v>
      </c>
      <c r="G21" s="30"/>
      <c r="H21" t="str">
        <f t="shared" ref="H21:J21" si="10">VLOOKUP(H20,$A$26:$B$41,2,FALSE)</f>
        <v>-</v>
      </c>
      <c r="I21" t="str">
        <f t="shared" si="10"/>
        <v>Rekha Shaw/Lina Mondal</v>
      </c>
      <c r="J21" t="str">
        <f t="shared" si="10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367</v>
      </c>
      <c r="C26">
        <v>5.0</v>
      </c>
      <c r="D26">
        <f t="shared" ref="D26:D39" si="11">$C26-COUNTIF($A$4:$J$21,$A26)</f>
        <v>5</v>
      </c>
    </row>
    <row r="27" ht="15.75" customHeight="1">
      <c r="A27" t="s">
        <v>538</v>
      </c>
      <c r="B27" t="s">
        <v>17</v>
      </c>
      <c r="C27">
        <v>4.0</v>
      </c>
      <c r="D27">
        <f t="shared" si="11"/>
        <v>4</v>
      </c>
    </row>
    <row r="28" ht="15.75" customHeight="1">
      <c r="A28" t="s">
        <v>537</v>
      </c>
      <c r="B28" t="s">
        <v>71</v>
      </c>
      <c r="C28">
        <v>4.0</v>
      </c>
      <c r="D28">
        <f t="shared" si="11"/>
        <v>4</v>
      </c>
    </row>
    <row r="29" ht="15.75" customHeight="1">
      <c r="A29" t="s">
        <v>534</v>
      </c>
      <c r="B29" t="s">
        <v>360</v>
      </c>
      <c r="C29">
        <v>3.0</v>
      </c>
      <c r="D29">
        <f t="shared" si="11"/>
        <v>3</v>
      </c>
    </row>
    <row r="30" ht="15.75" customHeight="1">
      <c r="A30" t="s">
        <v>547</v>
      </c>
      <c r="B30" t="s">
        <v>26</v>
      </c>
      <c r="C30">
        <v>3.0</v>
      </c>
      <c r="D30">
        <f t="shared" si="11"/>
        <v>3</v>
      </c>
    </row>
    <row r="31" ht="15.75" customHeight="1">
      <c r="A31" t="s">
        <v>544</v>
      </c>
      <c r="B31" t="s">
        <v>216</v>
      </c>
      <c r="C31">
        <v>3.0</v>
      </c>
      <c r="D31">
        <f t="shared" si="11"/>
        <v>3</v>
      </c>
    </row>
    <row r="32" ht="15.75" customHeight="1">
      <c r="A32" t="s">
        <v>545</v>
      </c>
      <c r="B32" t="s">
        <v>234</v>
      </c>
      <c r="C32">
        <v>1.0</v>
      </c>
      <c r="D32">
        <f t="shared" si="11"/>
        <v>1</v>
      </c>
    </row>
    <row r="33" ht="15.75" customHeight="1">
      <c r="A33" t="s">
        <v>551</v>
      </c>
      <c r="B33" t="s">
        <v>551</v>
      </c>
      <c r="C33">
        <v>1.0</v>
      </c>
      <c r="D33">
        <f t="shared" si="11"/>
        <v>1</v>
      </c>
    </row>
    <row r="34" ht="15.75" customHeight="1">
      <c r="A34" t="s">
        <v>550</v>
      </c>
      <c r="B34" t="s">
        <v>550</v>
      </c>
      <c r="C34">
        <v>1.0</v>
      </c>
      <c r="D34">
        <f t="shared" si="11"/>
        <v>1</v>
      </c>
    </row>
    <row r="35" ht="15.75" customHeight="1">
      <c r="A35" t="s">
        <v>1</v>
      </c>
      <c r="B35" t="s">
        <v>1</v>
      </c>
      <c r="C35">
        <v>1.0</v>
      </c>
      <c r="D35">
        <f t="shared" si="11"/>
        <v>1</v>
      </c>
    </row>
    <row r="36" ht="15.75" customHeight="1">
      <c r="A36" t="s">
        <v>542</v>
      </c>
      <c r="B36" t="s">
        <v>98</v>
      </c>
      <c r="C36">
        <v>4.0</v>
      </c>
      <c r="D36">
        <f t="shared" si="11"/>
        <v>0</v>
      </c>
    </row>
    <row r="37" ht="15.75" customHeight="1">
      <c r="A37" t="s">
        <v>549</v>
      </c>
      <c r="B37" t="s">
        <v>563</v>
      </c>
      <c r="C37">
        <v>4.0</v>
      </c>
      <c r="D37">
        <f t="shared" si="11"/>
        <v>0</v>
      </c>
    </row>
    <row r="38" ht="15.75" customHeight="1">
      <c r="A38" t="s">
        <v>546</v>
      </c>
      <c r="B38" t="s">
        <v>98</v>
      </c>
      <c r="C38">
        <v>3.0</v>
      </c>
      <c r="D38">
        <f t="shared" si="11"/>
        <v>0</v>
      </c>
    </row>
    <row r="39" ht="15.75" customHeight="1">
      <c r="A39" t="s">
        <v>548</v>
      </c>
      <c r="B39" t="s">
        <v>590</v>
      </c>
      <c r="C39">
        <v>2.0</v>
      </c>
      <c r="D39">
        <f t="shared" si="11"/>
        <v>0</v>
      </c>
    </row>
    <row r="40" ht="15.75" customHeight="1">
      <c r="A40" t="s">
        <v>543</v>
      </c>
      <c r="B40" t="s">
        <v>197</v>
      </c>
      <c r="C40">
        <v>1.0</v>
      </c>
      <c r="D40">
        <v>0.0</v>
      </c>
    </row>
    <row r="41" ht="15.75" customHeight="1">
      <c r="A41" t="s">
        <v>29</v>
      </c>
      <c r="B41" t="s">
        <v>253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40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9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6.57"/>
    <col customWidth="1" min="3" max="26" width="8.71"/>
  </cols>
  <sheetData>
    <row r="1">
      <c r="A1" s="2" t="s">
        <v>170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546</v>
      </c>
      <c r="C4" s="1" t="s">
        <v>29</v>
      </c>
      <c r="D4" s="1" t="s">
        <v>29</v>
      </c>
      <c r="E4" s="1" t="s">
        <v>29</v>
      </c>
      <c r="F4" s="1" t="s">
        <v>29</v>
      </c>
      <c r="G4" s="30"/>
      <c r="H4" s="1" t="s">
        <v>29</v>
      </c>
      <c r="I4" s="1" t="s">
        <v>29</v>
      </c>
      <c r="J4" s="1" t="s">
        <v>29</v>
      </c>
    </row>
    <row r="5">
      <c r="B5" t="str">
        <f t="shared" ref="B5:F5" si="1">VLOOKUP(B4,$A$26:$B$41,2,FALSE)</f>
        <v>Rishita Mukherjee</v>
      </c>
      <c r="C5" t="str">
        <f t="shared" si="1"/>
        <v>-</v>
      </c>
      <c r="D5" s="11" t="str">
        <f t="shared" si="1"/>
        <v>-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VLOOKUP(H4,$A$26:$B$41,2,FALSE)</f>
        <v>-</v>
      </c>
      <c r="I5" t="str">
        <f t="shared" si="2"/>
        <v>-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542</v>
      </c>
      <c r="C8" s="1" t="s">
        <v>29</v>
      </c>
      <c r="D8" s="1" t="s">
        <v>29</v>
      </c>
      <c r="E8" s="1" t="s">
        <v>29</v>
      </c>
      <c r="F8" s="1" t="s">
        <v>29</v>
      </c>
      <c r="G8" s="30"/>
      <c r="H8" s="1" t="s">
        <v>29</v>
      </c>
      <c r="I8" s="1" t="s">
        <v>29</v>
      </c>
      <c r="J8" s="1" t="s">
        <v>549</v>
      </c>
    </row>
    <row r="9">
      <c r="B9" t="str">
        <f t="shared" ref="B9:F9" si="3">VLOOKUP(B8,$A$26:$B$41,2,FALSE)</f>
        <v>Rishita Mukherjee</v>
      </c>
      <c r="C9" t="str">
        <f t="shared" si="3"/>
        <v>-</v>
      </c>
      <c r="D9" t="str">
        <f t="shared" si="3"/>
        <v>-</v>
      </c>
      <c r="E9" t="str">
        <f t="shared" si="3"/>
        <v>-</v>
      </c>
      <c r="F9" t="str">
        <f t="shared" si="3"/>
        <v>-</v>
      </c>
      <c r="G9" s="30"/>
      <c r="H9" t="str">
        <f t="shared" ref="H9:J9" si="4">VLOOKUP(H8,$A$26:$B$41,2,FALSE)</f>
        <v>-</v>
      </c>
      <c r="I9" t="str">
        <f t="shared" si="4"/>
        <v>-</v>
      </c>
      <c r="J9" t="str">
        <f t="shared" si="4"/>
        <v>Sukhvinder Madhok/Debarati Banerjee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546</v>
      </c>
      <c r="C12" s="1" t="s">
        <v>29</v>
      </c>
      <c r="D12" s="1" t="s">
        <v>29</v>
      </c>
      <c r="E12" s="1" t="s">
        <v>549</v>
      </c>
      <c r="F12" s="1" t="s">
        <v>29</v>
      </c>
      <c r="G12" s="30"/>
      <c r="H12" s="1" t="s">
        <v>29</v>
      </c>
      <c r="I12" s="1" t="s">
        <v>548</v>
      </c>
      <c r="J12" s="1" t="s">
        <v>543</v>
      </c>
    </row>
    <row r="13">
      <c r="B13" t="str">
        <f t="shared" ref="B13:F13" si="5">VLOOKUP(B12,$A$26:$B$41,2,FALSE)</f>
        <v>Rishita Mukherjee</v>
      </c>
      <c r="C13" t="str">
        <f t="shared" si="5"/>
        <v>-</v>
      </c>
      <c r="D13" t="str">
        <f t="shared" si="5"/>
        <v>-</v>
      </c>
      <c r="E13" t="str">
        <f t="shared" si="5"/>
        <v>Sukhvinder Madhok/Debarati Banerjee</v>
      </c>
      <c r="F13" t="str">
        <f t="shared" si="5"/>
        <v>-</v>
      </c>
      <c r="G13" s="30"/>
      <c r="H13" t="str">
        <f t="shared" ref="H13:J13" si="6">VLOOKUP(H12,$A$26:$B$41,2,FALSE)</f>
        <v>-</v>
      </c>
      <c r="I13" t="str">
        <f t="shared" si="6"/>
        <v>Shely Das/Samhita Chatterjee</v>
      </c>
      <c r="J13" t="str">
        <f t="shared" si="6"/>
        <v>Peter Gomes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542</v>
      </c>
      <c r="C16" s="1" t="s">
        <v>549</v>
      </c>
      <c r="D16" s="1" t="s">
        <v>29</v>
      </c>
      <c r="E16" s="1" t="s">
        <v>29</v>
      </c>
      <c r="F16" s="1" t="s">
        <v>29</v>
      </c>
      <c r="G16" s="30"/>
      <c r="H16" s="1" t="s">
        <v>29</v>
      </c>
      <c r="I16" s="1" t="s">
        <v>548</v>
      </c>
      <c r="J16" s="33" t="s">
        <v>29</v>
      </c>
    </row>
    <row r="17">
      <c r="B17" t="str">
        <f t="shared" ref="B17:F17" si="7">VLOOKUP(B16,$A$26:$B$41,2,FALSE)</f>
        <v>Rishita Mukherjee</v>
      </c>
      <c r="C17" t="str">
        <f t="shared" si="7"/>
        <v>Sukhvinder Madhok/Debarati Banerjee</v>
      </c>
      <c r="D17" t="str">
        <f t="shared" si="7"/>
        <v>-</v>
      </c>
      <c r="E17" t="str">
        <f t="shared" si="7"/>
        <v>-</v>
      </c>
      <c r="F17" t="str">
        <f t="shared" si="7"/>
        <v>-</v>
      </c>
      <c r="G17" s="30"/>
      <c r="H17" t="str">
        <f t="shared" ref="H17:J17" si="8">VLOOKUP(H16,$A$26:$B$41,2,FALSE)</f>
        <v>-</v>
      </c>
      <c r="I17" t="str">
        <f t="shared" si="8"/>
        <v>Shely Das/Samhita Chatterjee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546</v>
      </c>
      <c r="C20" s="1" t="s">
        <v>29</v>
      </c>
      <c r="D20" s="1" t="s">
        <v>29</v>
      </c>
      <c r="E20" s="1" t="s">
        <v>542</v>
      </c>
      <c r="F20" s="1" t="s">
        <v>29</v>
      </c>
      <c r="G20" s="30"/>
      <c r="H20" s="1" t="s">
        <v>29</v>
      </c>
      <c r="I20" s="1" t="s">
        <v>549</v>
      </c>
      <c r="J20" s="1" t="s">
        <v>29</v>
      </c>
    </row>
    <row r="21" ht="15.75" customHeight="1">
      <c r="B21" t="str">
        <f t="shared" ref="B21:F21" si="9">VLOOKUP(B20,$A$26:$B$41,2,FALSE)</f>
        <v>Rishita Mukherjee</v>
      </c>
      <c r="C21" t="str">
        <f t="shared" si="9"/>
        <v>-</v>
      </c>
      <c r="D21" t="str">
        <f t="shared" si="9"/>
        <v>-</v>
      </c>
      <c r="E21" t="str">
        <f t="shared" si="9"/>
        <v>Rishita Mukherjee</v>
      </c>
      <c r="F21" t="str">
        <f t="shared" si="9"/>
        <v>-</v>
      </c>
      <c r="G21" s="30"/>
      <c r="H21" t="str">
        <f t="shared" ref="H21:J21" si="10">VLOOKUP(H20,$A$26:$B$41,2,FALSE)</f>
        <v>-</v>
      </c>
      <c r="I21" t="str">
        <f t="shared" si="10"/>
        <v>Sukhvinder Madhok/Debarati Banerjee</v>
      </c>
      <c r="J21" t="str">
        <f t="shared" si="10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350</v>
      </c>
      <c r="C26">
        <v>5.0</v>
      </c>
      <c r="D26">
        <f t="shared" ref="D26:D40" si="11">$C26-COUNTIF($A$4:$J$21,$A26)</f>
        <v>5</v>
      </c>
    </row>
    <row r="27" ht="15.75" customHeight="1">
      <c r="A27" t="s">
        <v>538</v>
      </c>
      <c r="B27" t="s">
        <v>164</v>
      </c>
      <c r="C27">
        <v>4.0</v>
      </c>
      <c r="D27">
        <f t="shared" si="11"/>
        <v>4</v>
      </c>
    </row>
    <row r="28" ht="15.75" customHeight="1">
      <c r="A28" t="s">
        <v>537</v>
      </c>
      <c r="B28" t="s">
        <v>321</v>
      </c>
      <c r="C28">
        <v>4.0</v>
      </c>
      <c r="D28">
        <f t="shared" si="11"/>
        <v>4</v>
      </c>
    </row>
    <row r="29" ht="15.75" customHeight="1">
      <c r="A29" t="s">
        <v>544</v>
      </c>
      <c r="B29" t="s">
        <v>220</v>
      </c>
      <c r="C29">
        <v>3.0</v>
      </c>
      <c r="D29">
        <f t="shared" si="11"/>
        <v>3</v>
      </c>
    </row>
    <row r="30" ht="15.75" customHeight="1">
      <c r="A30" t="s">
        <v>534</v>
      </c>
      <c r="B30" t="s">
        <v>360</v>
      </c>
      <c r="C30">
        <v>3.0</v>
      </c>
      <c r="D30">
        <f t="shared" si="11"/>
        <v>3</v>
      </c>
    </row>
    <row r="31" ht="15.75" customHeight="1">
      <c r="A31" t="s">
        <v>547</v>
      </c>
      <c r="B31" t="s">
        <v>116</v>
      </c>
      <c r="C31">
        <v>3.0</v>
      </c>
      <c r="D31">
        <f t="shared" si="11"/>
        <v>3</v>
      </c>
    </row>
    <row r="32" ht="15.75" customHeight="1">
      <c r="A32" t="s">
        <v>542</v>
      </c>
      <c r="B32" t="s">
        <v>168</v>
      </c>
      <c r="C32">
        <v>4.0</v>
      </c>
      <c r="D32">
        <f t="shared" si="11"/>
        <v>1</v>
      </c>
    </row>
    <row r="33" ht="15.75" customHeight="1">
      <c r="A33" t="s">
        <v>545</v>
      </c>
      <c r="B33" t="s">
        <v>234</v>
      </c>
      <c r="C33">
        <v>1.0</v>
      </c>
      <c r="D33">
        <f t="shared" si="11"/>
        <v>1</v>
      </c>
    </row>
    <row r="34" ht="15.75" customHeight="1">
      <c r="A34" t="s">
        <v>1</v>
      </c>
      <c r="B34" t="s">
        <v>1</v>
      </c>
      <c r="C34">
        <v>1.0</v>
      </c>
      <c r="D34">
        <f t="shared" si="11"/>
        <v>1</v>
      </c>
    </row>
    <row r="35" ht="15.75" customHeight="1">
      <c r="A35" t="s">
        <v>551</v>
      </c>
      <c r="B35" t="s">
        <v>551</v>
      </c>
      <c r="C35">
        <v>1.0</v>
      </c>
      <c r="D35">
        <f t="shared" si="11"/>
        <v>1</v>
      </c>
    </row>
    <row r="36" ht="15.75" customHeight="1">
      <c r="A36" t="s">
        <v>550</v>
      </c>
      <c r="B36" t="s">
        <v>550</v>
      </c>
      <c r="C36">
        <v>1.0</v>
      </c>
      <c r="D36">
        <f t="shared" si="11"/>
        <v>1</v>
      </c>
    </row>
    <row r="37" ht="15.75" customHeight="1">
      <c r="A37" t="s">
        <v>549</v>
      </c>
      <c r="B37" t="s">
        <v>590</v>
      </c>
      <c r="C37">
        <v>4.0</v>
      </c>
      <c r="D37">
        <f t="shared" si="11"/>
        <v>0</v>
      </c>
    </row>
    <row r="38" ht="15.75" customHeight="1">
      <c r="A38" t="s">
        <v>546</v>
      </c>
      <c r="B38" t="s">
        <v>168</v>
      </c>
      <c r="C38">
        <v>3.0</v>
      </c>
      <c r="D38">
        <f t="shared" si="11"/>
        <v>0</v>
      </c>
    </row>
    <row r="39" ht="15.75" customHeight="1">
      <c r="A39" t="s">
        <v>548</v>
      </c>
      <c r="B39" t="s">
        <v>581</v>
      </c>
      <c r="C39">
        <v>2.0</v>
      </c>
      <c r="D39">
        <f t="shared" si="11"/>
        <v>0</v>
      </c>
    </row>
    <row r="40" ht="15.75" customHeight="1">
      <c r="A40" t="s">
        <v>543</v>
      </c>
      <c r="B40" t="s">
        <v>197</v>
      </c>
      <c r="C40">
        <v>1.0</v>
      </c>
      <c r="D40">
        <f t="shared" si="11"/>
        <v>0</v>
      </c>
    </row>
    <row r="41" ht="15.75" customHeight="1">
      <c r="A41" t="s">
        <v>29</v>
      </c>
      <c r="B41" t="s">
        <v>253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40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9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5.86"/>
    <col customWidth="1" min="2" max="2" width="15.14"/>
    <col customWidth="1" min="3" max="26" width="8.71"/>
  </cols>
  <sheetData>
    <row r="1">
      <c r="A1" s="2" t="s">
        <v>174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546</v>
      </c>
      <c r="C4" s="1" t="s">
        <v>29</v>
      </c>
      <c r="D4" s="1" t="s">
        <v>29</v>
      </c>
      <c r="E4" s="1" t="s">
        <v>528</v>
      </c>
      <c r="F4" s="1" t="s">
        <v>29</v>
      </c>
      <c r="G4" s="30"/>
      <c r="H4" s="1" t="s">
        <v>29</v>
      </c>
      <c r="I4" s="1" t="s">
        <v>29</v>
      </c>
      <c r="J4" s="1" t="s">
        <v>29</v>
      </c>
    </row>
    <row r="5">
      <c r="B5" t="str">
        <f t="shared" ref="B5:F5" si="1">VLOOKUP(B4,$A$26:$B$41,2,FALSE)</f>
        <v>Sumit Sengupta</v>
      </c>
      <c r="C5" t="str">
        <f t="shared" si="1"/>
        <v>-</v>
      </c>
      <c r="D5" s="11" t="str">
        <f t="shared" si="1"/>
        <v>-</v>
      </c>
      <c r="E5" s="11" t="str">
        <f t="shared" si="1"/>
        <v>Sumit Sengupta</v>
      </c>
      <c r="F5" s="11" t="str">
        <f t="shared" si="1"/>
        <v>-</v>
      </c>
      <c r="G5" s="30"/>
      <c r="H5" t="str">
        <f t="shared" ref="H5:J5" si="2">VLOOKUP(H4,$A$26:$B$41,2,FALSE)</f>
        <v>-</v>
      </c>
      <c r="I5" t="str">
        <f t="shared" si="2"/>
        <v>-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528</v>
      </c>
      <c r="C8" s="1" t="s">
        <v>29</v>
      </c>
      <c r="D8" s="1" t="s">
        <v>29</v>
      </c>
      <c r="E8" s="1" t="s">
        <v>29</v>
      </c>
      <c r="F8" s="1" t="s">
        <v>29</v>
      </c>
      <c r="G8" s="30"/>
      <c r="H8" s="1" t="s">
        <v>29</v>
      </c>
      <c r="I8" s="1" t="s">
        <v>29</v>
      </c>
      <c r="J8" s="1" t="s">
        <v>549</v>
      </c>
    </row>
    <row r="9">
      <c r="B9" t="str">
        <f t="shared" ref="B9:F9" si="3">VLOOKUP(B8,$A$26:$B$41,2,FALSE)</f>
        <v>Sumit Sengupta</v>
      </c>
      <c r="C9" t="str">
        <f t="shared" si="3"/>
        <v>-</v>
      </c>
      <c r="D9" t="str">
        <f t="shared" si="3"/>
        <v>-</v>
      </c>
      <c r="E9" t="str">
        <f t="shared" si="3"/>
        <v>-</v>
      </c>
      <c r="F9" t="str">
        <f t="shared" si="3"/>
        <v>-</v>
      </c>
      <c r="G9" s="30"/>
      <c r="H9" t="str">
        <f t="shared" ref="H9:J9" si="4">VLOOKUP(H8,$A$26:$B$41,2,FALSE)</f>
        <v>-</v>
      </c>
      <c r="I9" t="str">
        <f t="shared" si="4"/>
        <v>-</v>
      </c>
      <c r="J9" t="str">
        <f t="shared" si="4"/>
        <v>Sukhvinder Madhok/Debarati Banerjee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546</v>
      </c>
      <c r="C12" s="1" t="s">
        <v>29</v>
      </c>
      <c r="D12" s="1" t="s">
        <v>29</v>
      </c>
      <c r="E12" s="1" t="s">
        <v>549</v>
      </c>
      <c r="F12" s="1" t="s">
        <v>528</v>
      </c>
      <c r="G12" s="30"/>
      <c r="H12" s="1" t="s">
        <v>29</v>
      </c>
      <c r="I12" s="1" t="s">
        <v>548</v>
      </c>
      <c r="J12" s="1" t="s">
        <v>29</v>
      </c>
    </row>
    <row r="13">
      <c r="B13" t="str">
        <f t="shared" ref="B13:F13" si="5">VLOOKUP(B12,$A$26:$B$41,2,FALSE)</f>
        <v>Sumit Sengupta</v>
      </c>
      <c r="C13" t="str">
        <f t="shared" si="5"/>
        <v>-</v>
      </c>
      <c r="D13" t="str">
        <f t="shared" si="5"/>
        <v>-</v>
      </c>
      <c r="E13" t="str">
        <f t="shared" si="5"/>
        <v>Sukhvinder Madhok/Debarati Banerjee</v>
      </c>
      <c r="F13" t="str">
        <f t="shared" si="5"/>
        <v>Sumit Sengupta</v>
      </c>
      <c r="G13" s="30"/>
      <c r="H13" t="str">
        <f t="shared" ref="H13:J13" si="6">VLOOKUP(H12,$A$26:$B$41,2,FALSE)</f>
        <v>-</v>
      </c>
      <c r="I13" t="str">
        <f t="shared" si="6"/>
        <v>Shely Das/Samhita Chatterjee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528</v>
      </c>
      <c r="C16" s="1" t="s">
        <v>549</v>
      </c>
      <c r="D16" s="1" t="s">
        <v>29</v>
      </c>
      <c r="E16" s="1" t="s">
        <v>29</v>
      </c>
      <c r="F16" s="1" t="s">
        <v>29</v>
      </c>
      <c r="G16" s="30"/>
      <c r="H16" s="1" t="s">
        <v>29</v>
      </c>
      <c r="I16" s="1" t="s">
        <v>548</v>
      </c>
      <c r="J16" s="1" t="s">
        <v>29</v>
      </c>
    </row>
    <row r="17">
      <c r="B17" t="str">
        <f t="shared" ref="B17:F17" si="7">VLOOKUP(B16,$A$26:$B$41,2,FALSE)</f>
        <v>Sumit Sengupta</v>
      </c>
      <c r="C17" t="str">
        <f t="shared" si="7"/>
        <v>Sukhvinder Madhok/Debarati Banerjee</v>
      </c>
      <c r="D17" t="str">
        <f t="shared" si="7"/>
        <v>-</v>
      </c>
      <c r="E17" t="str">
        <f t="shared" si="7"/>
        <v>-</v>
      </c>
      <c r="F17" t="str">
        <f t="shared" si="7"/>
        <v>-</v>
      </c>
      <c r="G17" s="30"/>
      <c r="H17" t="str">
        <f t="shared" ref="H17:J17" si="8">VLOOKUP(H16,$A$26:$B$41,2,FALSE)</f>
        <v>-</v>
      </c>
      <c r="I17" t="str">
        <f t="shared" si="8"/>
        <v>Shely Das/Samhita Chatterjee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546</v>
      </c>
      <c r="C20" s="1" t="s">
        <v>29</v>
      </c>
      <c r="D20" s="1" t="s">
        <v>528</v>
      </c>
      <c r="E20" s="1" t="s">
        <v>29</v>
      </c>
      <c r="F20" s="1" t="s">
        <v>29</v>
      </c>
      <c r="G20" s="30"/>
      <c r="H20" s="1" t="s">
        <v>29</v>
      </c>
      <c r="I20" s="1" t="s">
        <v>549</v>
      </c>
      <c r="J20" s="33" t="s">
        <v>543</v>
      </c>
    </row>
    <row r="21" ht="15.75" customHeight="1">
      <c r="B21" t="str">
        <f t="shared" ref="B21:F21" si="9">VLOOKUP(B20,$A$26:$B$41,2,FALSE)</f>
        <v>Sumit Sengupta</v>
      </c>
      <c r="C21" t="str">
        <f t="shared" si="9"/>
        <v>-</v>
      </c>
      <c r="D21" t="str">
        <f t="shared" si="9"/>
        <v>Sumit Sengupta</v>
      </c>
      <c r="E21" t="str">
        <f t="shared" si="9"/>
        <v>-</v>
      </c>
      <c r="F21" t="str">
        <f t="shared" si="9"/>
        <v>-</v>
      </c>
      <c r="G21" s="30"/>
      <c r="H21" t="str">
        <f t="shared" ref="H21:J21" si="10">VLOOKUP(H20,$A$26:$B$41,2,FALSE)</f>
        <v>-</v>
      </c>
      <c r="I21" t="str">
        <f t="shared" si="10"/>
        <v>Sukhvinder Madhok/Debarati Banerjee</v>
      </c>
      <c r="J21" t="str">
        <f t="shared" si="10"/>
        <v>Peter Gomes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538</v>
      </c>
      <c r="B26" t="s">
        <v>110</v>
      </c>
      <c r="C26">
        <v>4.0</v>
      </c>
      <c r="D26">
        <f t="shared" ref="D26:D40" si="11">$C26-COUNTIF($A$4:$J$21,$A26)</f>
        <v>4</v>
      </c>
    </row>
    <row r="27" ht="15.75" customHeight="1">
      <c r="A27" t="s">
        <v>537</v>
      </c>
      <c r="B27" t="s">
        <v>17</v>
      </c>
      <c r="C27">
        <v>4.0</v>
      </c>
      <c r="D27">
        <f t="shared" si="11"/>
        <v>4</v>
      </c>
    </row>
    <row r="28" ht="15.75" customHeight="1">
      <c r="A28" t="s">
        <v>542</v>
      </c>
      <c r="B28" t="s">
        <v>59</v>
      </c>
      <c r="C28">
        <v>4.0</v>
      </c>
      <c r="D28">
        <f t="shared" si="11"/>
        <v>4</v>
      </c>
    </row>
    <row r="29" ht="15.75" customHeight="1">
      <c r="A29" t="s">
        <v>534</v>
      </c>
      <c r="B29" t="s">
        <v>156</v>
      </c>
      <c r="C29">
        <v>3.0</v>
      </c>
      <c r="D29">
        <f t="shared" si="11"/>
        <v>3</v>
      </c>
    </row>
    <row r="30" ht="15.75" customHeight="1">
      <c r="A30" t="s">
        <v>544</v>
      </c>
      <c r="B30" t="s">
        <v>123</v>
      </c>
      <c r="C30">
        <v>3.0</v>
      </c>
      <c r="D30">
        <f t="shared" si="11"/>
        <v>3</v>
      </c>
    </row>
    <row r="31" ht="15.75" customHeight="1">
      <c r="A31" t="s">
        <v>547</v>
      </c>
      <c r="B31" t="s">
        <v>26</v>
      </c>
      <c r="C31">
        <v>3.0</v>
      </c>
      <c r="D31">
        <f t="shared" si="11"/>
        <v>3</v>
      </c>
    </row>
    <row r="32" ht="15.75" customHeight="1">
      <c r="A32" t="s">
        <v>545</v>
      </c>
      <c r="B32" t="s">
        <v>234</v>
      </c>
      <c r="C32">
        <v>1.0</v>
      </c>
      <c r="D32">
        <f t="shared" si="11"/>
        <v>1</v>
      </c>
    </row>
    <row r="33" ht="15.75" customHeight="1">
      <c r="A33" t="s">
        <v>551</v>
      </c>
      <c r="B33" t="s">
        <v>551</v>
      </c>
      <c r="C33">
        <v>1.0</v>
      </c>
      <c r="D33">
        <f t="shared" si="11"/>
        <v>1</v>
      </c>
    </row>
    <row r="34" ht="15.75" customHeight="1">
      <c r="A34" t="s">
        <v>1</v>
      </c>
      <c r="B34" t="s">
        <v>1</v>
      </c>
      <c r="C34">
        <v>1.0</v>
      </c>
      <c r="D34">
        <f t="shared" si="11"/>
        <v>1</v>
      </c>
    </row>
    <row r="35" ht="15.75" customHeight="1">
      <c r="A35" t="s">
        <v>550</v>
      </c>
      <c r="B35" t="s">
        <v>550</v>
      </c>
      <c r="C35">
        <v>1.0</v>
      </c>
      <c r="D35">
        <f t="shared" si="11"/>
        <v>1</v>
      </c>
    </row>
    <row r="36" ht="15.75" customHeight="1">
      <c r="A36" t="s">
        <v>528</v>
      </c>
      <c r="B36" t="s">
        <v>344</v>
      </c>
      <c r="C36">
        <v>5.0</v>
      </c>
      <c r="D36">
        <f t="shared" si="11"/>
        <v>0</v>
      </c>
    </row>
    <row r="37" ht="15.75" customHeight="1">
      <c r="A37" t="s">
        <v>549</v>
      </c>
      <c r="B37" t="s">
        <v>590</v>
      </c>
      <c r="C37">
        <v>4.0</v>
      </c>
      <c r="D37">
        <f t="shared" si="11"/>
        <v>0</v>
      </c>
    </row>
    <row r="38" ht="15.75" customHeight="1">
      <c r="A38" t="s">
        <v>546</v>
      </c>
      <c r="B38" t="s">
        <v>344</v>
      </c>
      <c r="C38">
        <v>3.0</v>
      </c>
      <c r="D38">
        <f t="shared" si="11"/>
        <v>0</v>
      </c>
    </row>
    <row r="39" ht="15.75" customHeight="1">
      <c r="A39" t="s">
        <v>548</v>
      </c>
      <c r="B39" t="s">
        <v>581</v>
      </c>
      <c r="C39">
        <v>2.0</v>
      </c>
      <c r="D39">
        <f t="shared" si="11"/>
        <v>0</v>
      </c>
    </row>
    <row r="40" ht="15.75" customHeight="1">
      <c r="A40" t="s">
        <v>543</v>
      </c>
      <c r="B40" t="s">
        <v>197</v>
      </c>
      <c r="C40">
        <v>1.0</v>
      </c>
      <c r="D40">
        <f t="shared" si="11"/>
        <v>0</v>
      </c>
    </row>
    <row r="41" ht="15.75" customHeight="1">
      <c r="A41" t="s">
        <v>29</v>
      </c>
      <c r="B41" t="s">
        <v>253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40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9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5.86"/>
    <col customWidth="1" min="2" max="2" width="17.43"/>
    <col customWidth="1" min="3" max="3" width="23.29"/>
    <col customWidth="1" min="4" max="26" width="8.71"/>
  </cols>
  <sheetData>
    <row r="1">
      <c r="A1" s="2" t="s">
        <v>179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546</v>
      </c>
      <c r="C4" s="1" t="s">
        <v>29</v>
      </c>
      <c r="D4" s="1" t="s">
        <v>29</v>
      </c>
      <c r="E4" s="1" t="s">
        <v>29</v>
      </c>
      <c r="F4" s="1" t="s">
        <v>29</v>
      </c>
      <c r="G4" s="30"/>
      <c r="H4" s="1" t="s">
        <v>538</v>
      </c>
      <c r="I4" s="1" t="s">
        <v>29</v>
      </c>
      <c r="J4" s="1" t="s">
        <v>549</v>
      </c>
    </row>
    <row r="5">
      <c r="B5" t="str">
        <f t="shared" ref="B5:F5" si="1">VLOOKUP(B4,$A$26:$B$41,2,FALSE)</f>
        <v>Monideepa Roy</v>
      </c>
      <c r="C5" t="str">
        <f t="shared" si="1"/>
        <v>-</v>
      </c>
      <c r="D5" s="11" t="str">
        <f t="shared" si="1"/>
        <v>-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VLOOKUP(H4,$A$26:$B$41,2,FALSE)</f>
        <v>Monideepa Roy</v>
      </c>
      <c r="I5" t="str">
        <f t="shared" si="2"/>
        <v>-</v>
      </c>
      <c r="J5" t="str">
        <f t="shared" si="2"/>
        <v>Shely Das/Debarati Banerjee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538</v>
      </c>
      <c r="C8" s="1" t="s">
        <v>29</v>
      </c>
      <c r="D8" s="1" t="s">
        <v>29</v>
      </c>
      <c r="E8" s="1" t="s">
        <v>29</v>
      </c>
      <c r="F8" s="1" t="s">
        <v>29</v>
      </c>
      <c r="G8" s="30"/>
      <c r="H8" s="1" t="s">
        <v>29</v>
      </c>
      <c r="I8" s="1" t="s">
        <v>549</v>
      </c>
      <c r="J8" s="1" t="s">
        <v>29</v>
      </c>
    </row>
    <row r="9">
      <c r="B9" t="str">
        <f t="shared" ref="B9:F9" si="3">VLOOKUP(B8,$A$26:$B$41,2,FALSE)</f>
        <v>Monideepa Roy</v>
      </c>
      <c r="C9" t="str">
        <f t="shared" si="3"/>
        <v>-</v>
      </c>
      <c r="D9" t="str">
        <f t="shared" si="3"/>
        <v>-</v>
      </c>
      <c r="E9" t="str">
        <f t="shared" si="3"/>
        <v>-</v>
      </c>
      <c r="F9" t="str">
        <f t="shared" si="3"/>
        <v>-</v>
      </c>
      <c r="G9" s="30"/>
      <c r="H9" t="str">
        <f t="shared" ref="H9:J9" si="4">VLOOKUP(H8,$A$26:$B$41,2,FALSE)</f>
        <v>-</v>
      </c>
      <c r="I9" t="str">
        <f t="shared" si="4"/>
        <v>Shely Das/Debarati Banerjee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546</v>
      </c>
      <c r="C12" s="1" t="s">
        <v>29</v>
      </c>
      <c r="D12" s="1" t="s">
        <v>538</v>
      </c>
      <c r="E12" s="1" t="s">
        <v>29</v>
      </c>
      <c r="F12" s="1" t="s">
        <v>29</v>
      </c>
      <c r="G12" s="30"/>
      <c r="H12" s="1" t="s">
        <v>29</v>
      </c>
      <c r="I12" s="1" t="s">
        <v>548</v>
      </c>
      <c r="J12" s="1" t="s">
        <v>29</v>
      </c>
    </row>
    <row r="13">
      <c r="B13" t="str">
        <f t="shared" ref="B13:F13" si="5">VLOOKUP(B12,$A$26:$B$41,2,FALSE)</f>
        <v>Monideepa Roy</v>
      </c>
      <c r="C13" t="str">
        <f t="shared" si="5"/>
        <v>-</v>
      </c>
      <c r="D13" t="str">
        <f t="shared" si="5"/>
        <v>Monideepa Roy</v>
      </c>
      <c r="E13" t="str">
        <f t="shared" si="5"/>
        <v>-</v>
      </c>
      <c r="F13" t="str">
        <f t="shared" si="5"/>
        <v>-</v>
      </c>
      <c r="G13" s="30"/>
      <c r="H13" t="str">
        <f t="shared" ref="H13:J13" si="6">VLOOKUP(H12,$A$26:$B$41,2,FALSE)</f>
        <v>-</v>
      </c>
      <c r="I13" t="str">
        <f t="shared" si="6"/>
        <v>Rekha Shaw/Lina Mondal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538</v>
      </c>
      <c r="C16" s="1" t="s">
        <v>29</v>
      </c>
      <c r="D16" s="1" t="s">
        <v>29</v>
      </c>
      <c r="E16" s="1" t="s">
        <v>29</v>
      </c>
      <c r="F16" s="1" t="s">
        <v>549</v>
      </c>
      <c r="G16" s="30"/>
      <c r="H16" s="1" t="s">
        <v>29</v>
      </c>
      <c r="I16" s="1" t="s">
        <v>548</v>
      </c>
      <c r="J16" s="1" t="s">
        <v>29</v>
      </c>
    </row>
    <row r="17">
      <c r="B17" t="str">
        <f t="shared" ref="B17:F17" si="7">VLOOKUP(B16,$A$26:$B$41,2,FALSE)</f>
        <v>Monideepa Roy</v>
      </c>
      <c r="C17" t="str">
        <f t="shared" si="7"/>
        <v>-</v>
      </c>
      <c r="D17" t="str">
        <f t="shared" si="7"/>
        <v>-</v>
      </c>
      <c r="E17" t="str">
        <f t="shared" si="7"/>
        <v>-</v>
      </c>
      <c r="F17" t="str">
        <f t="shared" si="7"/>
        <v>Shely Das/Debarati Banerjee</v>
      </c>
      <c r="G17" s="30"/>
      <c r="H17" t="str">
        <f t="shared" ref="H17:J17" si="8">VLOOKUP(H16,$A$26:$B$41,2,FALSE)</f>
        <v>-</v>
      </c>
      <c r="I17" t="str">
        <f t="shared" si="8"/>
        <v>Rekha Shaw/Lina Mondal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546</v>
      </c>
      <c r="C20" s="1" t="s">
        <v>29</v>
      </c>
      <c r="D20" s="1" t="s">
        <v>29</v>
      </c>
      <c r="E20" s="1" t="s">
        <v>29</v>
      </c>
      <c r="F20" s="1" t="s">
        <v>29</v>
      </c>
      <c r="G20" s="30"/>
      <c r="H20" s="1" t="s">
        <v>549</v>
      </c>
      <c r="I20" s="1" t="s">
        <v>29</v>
      </c>
      <c r="J20" s="33" t="s">
        <v>543</v>
      </c>
    </row>
    <row r="21" ht="15.75" customHeight="1">
      <c r="B21" t="str">
        <f t="shared" ref="B21:F21" si="9">VLOOKUP(B20,$A$26:$B$41,2,FALSE)</f>
        <v>Monideepa Roy</v>
      </c>
      <c r="C21" t="str">
        <f t="shared" si="9"/>
        <v>-</v>
      </c>
      <c r="D21" t="str">
        <f t="shared" si="9"/>
        <v>-</v>
      </c>
      <c r="E21" t="str">
        <f t="shared" si="9"/>
        <v>-</v>
      </c>
      <c r="F21" t="str">
        <f t="shared" si="9"/>
        <v>-</v>
      </c>
      <c r="G21" s="30"/>
      <c r="H21" t="str">
        <f t="shared" ref="H21:J21" si="10">VLOOKUP(H20,$A$26:$B$41,2,FALSE)</f>
        <v>Shely Das/Debarati Banerjee</v>
      </c>
      <c r="I21" t="str">
        <f t="shared" si="10"/>
        <v>-</v>
      </c>
      <c r="J21" t="str">
        <f t="shared" si="10"/>
        <v>Peter Gomes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187</v>
      </c>
      <c r="C26">
        <v>5.0</v>
      </c>
      <c r="D26">
        <f t="shared" ref="D26:D40" si="11">$C26-COUNTIF($A$4:$J$21,$A26)</f>
        <v>5</v>
      </c>
    </row>
    <row r="27" ht="15.75" customHeight="1">
      <c r="A27" t="s">
        <v>537</v>
      </c>
      <c r="B27" t="s">
        <v>164</v>
      </c>
      <c r="C27">
        <v>4.0</v>
      </c>
      <c r="D27">
        <f t="shared" si="11"/>
        <v>4</v>
      </c>
    </row>
    <row r="28" ht="15.75" customHeight="1">
      <c r="A28" t="s">
        <v>542</v>
      </c>
      <c r="B28" t="s">
        <v>118</v>
      </c>
      <c r="C28">
        <v>4.0</v>
      </c>
      <c r="D28">
        <f t="shared" si="11"/>
        <v>4</v>
      </c>
    </row>
    <row r="29" ht="15.75" customHeight="1">
      <c r="A29" t="s">
        <v>547</v>
      </c>
      <c r="B29" t="s">
        <v>363</v>
      </c>
      <c r="C29">
        <v>3.0</v>
      </c>
      <c r="D29">
        <f t="shared" si="11"/>
        <v>3</v>
      </c>
    </row>
    <row r="30" ht="15.75" customHeight="1">
      <c r="A30" t="s">
        <v>534</v>
      </c>
      <c r="B30" t="s">
        <v>360</v>
      </c>
      <c r="C30">
        <v>3.0</v>
      </c>
      <c r="D30">
        <f t="shared" si="11"/>
        <v>3</v>
      </c>
    </row>
    <row r="31" ht="15.75" customHeight="1">
      <c r="A31" t="s">
        <v>544</v>
      </c>
      <c r="B31" t="s">
        <v>27</v>
      </c>
      <c r="C31">
        <v>3.0</v>
      </c>
      <c r="D31">
        <f t="shared" si="11"/>
        <v>3</v>
      </c>
    </row>
    <row r="32" ht="15.75" customHeight="1">
      <c r="A32" t="s">
        <v>545</v>
      </c>
      <c r="B32" t="s">
        <v>234</v>
      </c>
      <c r="C32">
        <v>1.0</v>
      </c>
      <c r="D32">
        <f t="shared" si="11"/>
        <v>1</v>
      </c>
    </row>
    <row r="33" ht="15.75" customHeight="1">
      <c r="A33" t="s">
        <v>1</v>
      </c>
      <c r="B33" t="s">
        <v>1</v>
      </c>
      <c r="C33">
        <v>1.0</v>
      </c>
      <c r="D33">
        <f t="shared" si="11"/>
        <v>1</v>
      </c>
    </row>
    <row r="34" ht="15.75" customHeight="1">
      <c r="A34" t="s">
        <v>550</v>
      </c>
      <c r="B34" t="s">
        <v>550</v>
      </c>
      <c r="C34">
        <v>1.0</v>
      </c>
      <c r="D34">
        <f t="shared" si="11"/>
        <v>1</v>
      </c>
    </row>
    <row r="35" ht="15.75" customHeight="1">
      <c r="A35" t="s">
        <v>551</v>
      </c>
      <c r="B35" t="s">
        <v>551</v>
      </c>
      <c r="C35">
        <v>1.0</v>
      </c>
      <c r="D35">
        <f t="shared" si="11"/>
        <v>1</v>
      </c>
    </row>
    <row r="36" ht="15.75" customHeight="1">
      <c r="A36" t="s">
        <v>538</v>
      </c>
      <c r="B36" t="s">
        <v>151</v>
      </c>
      <c r="C36">
        <v>4.0</v>
      </c>
      <c r="D36">
        <f t="shared" si="11"/>
        <v>0</v>
      </c>
    </row>
    <row r="37" ht="15.75" customHeight="1">
      <c r="A37" t="s">
        <v>549</v>
      </c>
      <c r="B37" t="s">
        <v>588</v>
      </c>
      <c r="C37">
        <v>4.0</v>
      </c>
      <c r="D37">
        <f t="shared" si="11"/>
        <v>0</v>
      </c>
    </row>
    <row r="38" ht="15.75" customHeight="1">
      <c r="A38" t="s">
        <v>546</v>
      </c>
      <c r="B38" t="s">
        <v>151</v>
      </c>
      <c r="C38">
        <v>3.0</v>
      </c>
      <c r="D38">
        <f t="shared" si="11"/>
        <v>0</v>
      </c>
    </row>
    <row r="39" ht="15.75" customHeight="1">
      <c r="A39" t="s">
        <v>548</v>
      </c>
      <c r="B39" t="s">
        <v>563</v>
      </c>
      <c r="C39">
        <v>2.0</v>
      </c>
      <c r="D39">
        <f t="shared" si="11"/>
        <v>0</v>
      </c>
    </row>
    <row r="40" ht="15.75" customHeight="1">
      <c r="A40" t="s">
        <v>543</v>
      </c>
      <c r="B40" t="s">
        <v>197</v>
      </c>
      <c r="C40">
        <v>1.0</v>
      </c>
      <c r="D40">
        <f t="shared" si="11"/>
        <v>0</v>
      </c>
    </row>
    <row r="41" ht="15.75" customHeight="1">
      <c r="A41" t="s">
        <v>29</v>
      </c>
      <c r="B41" t="s">
        <v>253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40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9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30.86"/>
    <col customWidth="1" min="3" max="26" width="8.71"/>
  </cols>
  <sheetData>
    <row r="1">
      <c r="A1" s="2" t="s">
        <v>181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537</v>
      </c>
      <c r="C4" s="1" t="s">
        <v>549</v>
      </c>
      <c r="D4" s="1" t="s">
        <v>29</v>
      </c>
      <c r="E4" s="1" t="s">
        <v>29</v>
      </c>
      <c r="F4" s="1" t="s">
        <v>29</v>
      </c>
      <c r="G4" s="30"/>
      <c r="H4" s="1" t="s">
        <v>545</v>
      </c>
      <c r="I4" s="1" t="s">
        <v>29</v>
      </c>
      <c r="J4" s="1" t="s">
        <v>29</v>
      </c>
    </row>
    <row r="5">
      <c r="B5" t="str">
        <f t="shared" ref="B5:F5" si="1">VLOOKUP(B4,$A$26:$B$40,2,FALSE)</f>
        <v>Soma Das</v>
      </c>
      <c r="C5" t="str">
        <f t="shared" si="1"/>
        <v>Shely Das/Debarati Banerjee</v>
      </c>
      <c r="D5" s="11" t="str">
        <f t="shared" si="1"/>
        <v>-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VLOOKUP(H4,$A$26:$B$40,2,FALSE)</f>
        <v>Ransdel Manuel</v>
      </c>
      <c r="I5" t="str">
        <f t="shared" si="2"/>
        <v>-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546</v>
      </c>
      <c r="C8" s="1" t="s">
        <v>29</v>
      </c>
      <c r="D8" s="1" t="s">
        <v>537</v>
      </c>
      <c r="E8" s="1" t="s">
        <v>29</v>
      </c>
      <c r="F8" s="1" t="s">
        <v>29</v>
      </c>
      <c r="G8" s="30"/>
      <c r="H8" s="1" t="s">
        <v>549</v>
      </c>
      <c r="I8" s="1" t="s">
        <v>29</v>
      </c>
      <c r="J8" s="1" t="s">
        <v>29</v>
      </c>
    </row>
    <row r="9">
      <c r="B9" t="str">
        <f t="shared" ref="B9:F9" si="3">VLOOKUP(B8,$A$26:$B$40,2,FALSE)</f>
        <v>Soma Das</v>
      </c>
      <c r="C9" t="str">
        <f t="shared" si="3"/>
        <v>-</v>
      </c>
      <c r="D9" t="str">
        <f t="shared" si="3"/>
        <v>Soma Das</v>
      </c>
      <c r="E9" t="str">
        <f t="shared" si="3"/>
        <v>-</v>
      </c>
      <c r="F9" t="str">
        <f t="shared" si="3"/>
        <v>-</v>
      </c>
      <c r="G9" s="30"/>
      <c r="H9" t="str">
        <f t="shared" ref="H9:J9" si="4">VLOOKUP(H8,$A$26:$B$40,2,FALSE)</f>
        <v>Shely Das/Debarati Banerjee</v>
      </c>
      <c r="I9" t="str">
        <f t="shared" si="4"/>
        <v>-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537</v>
      </c>
      <c r="C12" s="1" t="s">
        <v>549</v>
      </c>
      <c r="D12" s="1" t="s">
        <v>29</v>
      </c>
      <c r="E12" s="1" t="s">
        <v>29</v>
      </c>
      <c r="F12" s="1" t="s">
        <v>29</v>
      </c>
      <c r="G12" s="30"/>
      <c r="H12" s="1" t="s">
        <v>29</v>
      </c>
      <c r="I12" s="1" t="s">
        <v>29</v>
      </c>
      <c r="J12" s="1" t="s">
        <v>29</v>
      </c>
    </row>
    <row r="13">
      <c r="B13" t="str">
        <f t="shared" ref="B13:F13" si="5">VLOOKUP(B12,$A$26:$B$40,2,FALSE)</f>
        <v>Soma Das</v>
      </c>
      <c r="C13" t="str">
        <f t="shared" si="5"/>
        <v>Shely Das/Debarati Banerjee</v>
      </c>
      <c r="D13" t="str">
        <f t="shared" si="5"/>
        <v>-</v>
      </c>
      <c r="E13" t="str">
        <f t="shared" si="5"/>
        <v>-</v>
      </c>
      <c r="F13" t="str">
        <f t="shared" si="5"/>
        <v>-</v>
      </c>
      <c r="G13" s="30"/>
      <c r="H13" t="str">
        <f t="shared" ref="H13:J13" si="6">VLOOKUP(H12,$A$26:$B$40,2,FALSE)</f>
        <v>-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546</v>
      </c>
      <c r="C16" s="1" t="s">
        <v>29</v>
      </c>
      <c r="D16" s="1" t="s">
        <v>29</v>
      </c>
      <c r="E16" s="1" t="s">
        <v>29</v>
      </c>
      <c r="F16" s="1" t="s">
        <v>29</v>
      </c>
      <c r="G16" s="30"/>
      <c r="H16" s="1" t="s">
        <v>548</v>
      </c>
      <c r="I16" s="1" t="s">
        <v>29</v>
      </c>
      <c r="J16" s="1" t="s">
        <v>29</v>
      </c>
    </row>
    <row r="17">
      <c r="B17" t="str">
        <f t="shared" ref="B17:F17" si="7">VLOOKUP(B16,$A$26:$B$40,2,FALSE)</f>
        <v>Soma Das</v>
      </c>
      <c r="C17" t="str">
        <f t="shared" si="7"/>
        <v>-</v>
      </c>
      <c r="D17" t="str">
        <f t="shared" si="7"/>
        <v>-</v>
      </c>
      <c r="E17" t="str">
        <f t="shared" si="7"/>
        <v>-</v>
      </c>
      <c r="F17" t="str">
        <f t="shared" si="7"/>
        <v>-</v>
      </c>
      <c r="G17" s="30"/>
      <c r="H17" t="str">
        <f t="shared" ref="H17:J17" si="8">VLOOKUP(H16,$A$26:$B$40,2,FALSE)</f>
        <v>Sukhvinder Madhok/Lina Mondal</v>
      </c>
      <c r="I17" t="str">
        <f t="shared" si="8"/>
        <v>-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537</v>
      </c>
      <c r="C20" s="1" t="s">
        <v>29</v>
      </c>
      <c r="D20" s="1" t="s">
        <v>29</v>
      </c>
      <c r="E20" s="1" t="s">
        <v>29</v>
      </c>
      <c r="F20" s="1" t="s">
        <v>29</v>
      </c>
      <c r="G20" s="30"/>
      <c r="H20" s="1" t="s">
        <v>29</v>
      </c>
      <c r="I20" s="1" t="s">
        <v>29</v>
      </c>
      <c r="J20" s="1" t="s">
        <v>549</v>
      </c>
    </row>
    <row r="21" ht="15.75" customHeight="1">
      <c r="B21" t="str">
        <f t="shared" ref="B21:F21" si="9">VLOOKUP(B20,$A$26:$B$40,2,FALSE)</f>
        <v>Soma Das</v>
      </c>
      <c r="C21" t="str">
        <f t="shared" si="9"/>
        <v>-</v>
      </c>
      <c r="D21" t="str">
        <f t="shared" si="9"/>
        <v>-</v>
      </c>
      <c r="E21" t="str">
        <f t="shared" si="9"/>
        <v>-</v>
      </c>
      <c r="F21" t="str">
        <f t="shared" si="9"/>
        <v>-</v>
      </c>
      <c r="G21" s="30"/>
      <c r="H21" t="str">
        <f t="shared" ref="H21:J21" si="10">VLOOKUP(H20,$A$26:$B$40,2,FALSE)</f>
        <v>-</v>
      </c>
      <c r="I21" t="str">
        <f t="shared" si="10"/>
        <v>-</v>
      </c>
      <c r="J21" t="str">
        <f t="shared" si="10"/>
        <v>Shely Das/Debarati Banerjee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350</v>
      </c>
      <c r="C26">
        <v>5.0</v>
      </c>
      <c r="D26">
        <f t="shared" ref="D26:D39" si="11">$C26-COUNTIF($A$4:$J$21,$A26)</f>
        <v>5</v>
      </c>
    </row>
    <row r="27" ht="15.75" customHeight="1">
      <c r="A27" t="s">
        <v>538</v>
      </c>
      <c r="B27" t="s">
        <v>164</v>
      </c>
      <c r="C27">
        <v>4.0</v>
      </c>
      <c r="D27">
        <f t="shared" si="11"/>
        <v>4</v>
      </c>
    </row>
    <row r="28" ht="15.75" customHeight="1">
      <c r="A28" t="s">
        <v>537</v>
      </c>
      <c r="B28" t="s">
        <v>321</v>
      </c>
      <c r="C28">
        <v>4.0</v>
      </c>
      <c r="D28">
        <f t="shared" si="11"/>
        <v>0</v>
      </c>
    </row>
    <row r="29" ht="15.75" customHeight="1">
      <c r="A29" t="s">
        <v>549</v>
      </c>
      <c r="B29" t="s">
        <v>588</v>
      </c>
      <c r="C29">
        <v>4.0</v>
      </c>
      <c r="D29">
        <f t="shared" si="11"/>
        <v>0</v>
      </c>
    </row>
    <row r="30" ht="15.75" customHeight="1">
      <c r="A30" t="s">
        <v>541</v>
      </c>
      <c r="B30" t="s">
        <v>98</v>
      </c>
      <c r="C30">
        <v>3.0</v>
      </c>
      <c r="D30">
        <f t="shared" si="11"/>
        <v>3</v>
      </c>
    </row>
    <row r="31" ht="15.75" customHeight="1">
      <c r="A31" t="s">
        <v>540</v>
      </c>
      <c r="B31" t="s">
        <v>168</v>
      </c>
      <c r="C31">
        <v>3.0</v>
      </c>
      <c r="D31">
        <f t="shared" si="11"/>
        <v>3</v>
      </c>
    </row>
    <row r="32" ht="15.75" customHeight="1">
      <c r="A32" t="s">
        <v>544</v>
      </c>
      <c r="B32" t="s">
        <v>248</v>
      </c>
      <c r="C32">
        <v>3.0</v>
      </c>
      <c r="D32">
        <f t="shared" si="11"/>
        <v>3</v>
      </c>
    </row>
    <row r="33" ht="15.75" customHeight="1">
      <c r="A33" t="s">
        <v>534</v>
      </c>
      <c r="B33" t="s">
        <v>360</v>
      </c>
      <c r="C33">
        <v>3.0</v>
      </c>
      <c r="D33">
        <f t="shared" si="11"/>
        <v>3</v>
      </c>
    </row>
    <row r="34" ht="15.75" customHeight="1">
      <c r="A34" t="s">
        <v>547</v>
      </c>
      <c r="B34" t="s">
        <v>26</v>
      </c>
      <c r="C34">
        <v>3.0</v>
      </c>
      <c r="D34">
        <f t="shared" si="11"/>
        <v>3</v>
      </c>
    </row>
    <row r="35" ht="15.75" customHeight="1">
      <c r="A35" t="s">
        <v>539</v>
      </c>
      <c r="B35" t="s">
        <v>25</v>
      </c>
      <c r="C35">
        <v>3.0</v>
      </c>
      <c r="D35">
        <f t="shared" si="11"/>
        <v>3</v>
      </c>
    </row>
    <row r="36" ht="15.75" customHeight="1">
      <c r="A36" t="s">
        <v>546</v>
      </c>
      <c r="B36" t="s">
        <v>321</v>
      </c>
      <c r="C36">
        <v>2.0</v>
      </c>
      <c r="D36">
        <f t="shared" si="11"/>
        <v>0</v>
      </c>
    </row>
    <row r="37" ht="15.75" customHeight="1">
      <c r="A37" t="s">
        <v>545</v>
      </c>
      <c r="B37" t="s">
        <v>234</v>
      </c>
      <c r="C37">
        <v>1.0</v>
      </c>
      <c r="D37">
        <f t="shared" si="11"/>
        <v>0</v>
      </c>
    </row>
    <row r="38" ht="15.75" customHeight="1">
      <c r="A38" t="s">
        <v>1</v>
      </c>
      <c r="B38" t="s">
        <v>1</v>
      </c>
      <c r="C38">
        <v>1.0</v>
      </c>
      <c r="D38">
        <f t="shared" si="11"/>
        <v>1</v>
      </c>
    </row>
    <row r="39" ht="15.75" customHeight="1">
      <c r="A39" t="s">
        <v>548</v>
      </c>
      <c r="B39" t="s">
        <v>572</v>
      </c>
      <c r="C39">
        <v>1.0</v>
      </c>
      <c r="D39">
        <f t="shared" si="11"/>
        <v>0</v>
      </c>
    </row>
    <row r="40" ht="15.75" customHeight="1">
      <c r="A40" t="s">
        <v>29</v>
      </c>
      <c r="B40" t="s">
        <v>253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9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5.86"/>
    <col customWidth="1" min="2" max="2" width="30.86"/>
    <col customWidth="1" min="3" max="26" width="8.71"/>
  </cols>
  <sheetData>
    <row r="1">
      <c r="A1" s="2" t="s">
        <v>184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544</v>
      </c>
      <c r="C4" s="1" t="s">
        <v>549</v>
      </c>
      <c r="D4" s="1" t="s">
        <v>29</v>
      </c>
      <c r="E4" s="1" t="s">
        <v>29</v>
      </c>
      <c r="F4" s="1" t="s">
        <v>29</v>
      </c>
      <c r="G4" s="30"/>
      <c r="H4" s="1" t="s">
        <v>545</v>
      </c>
      <c r="I4" s="1" t="s">
        <v>29</v>
      </c>
      <c r="J4" s="1" t="s">
        <v>29</v>
      </c>
    </row>
    <row r="5">
      <c r="B5" t="str">
        <f t="shared" ref="B5:F5" si="1">VLOOKUP(B4,$A$26:$B$41,2,FALSE)</f>
        <v>Priyanka Ghosh Kumar</v>
      </c>
      <c r="C5" t="str">
        <f t="shared" si="1"/>
        <v>Shely Das/Debarati Banerjee</v>
      </c>
      <c r="D5" s="11" t="str">
        <f t="shared" si="1"/>
        <v>-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VLOOKUP(H4,$A$26:$B$41,2,FALSE)</f>
        <v>Ransdel Manuel</v>
      </c>
      <c r="I5" t="str">
        <f t="shared" si="2"/>
        <v>-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546</v>
      </c>
      <c r="C8" s="1" t="s">
        <v>29</v>
      </c>
      <c r="D8" s="1" t="s">
        <v>29</v>
      </c>
      <c r="E8" s="1" t="s">
        <v>29</v>
      </c>
      <c r="F8" s="1" t="s">
        <v>29</v>
      </c>
      <c r="G8" s="30"/>
      <c r="H8" s="1" t="s">
        <v>549</v>
      </c>
      <c r="I8" s="1" t="s">
        <v>29</v>
      </c>
      <c r="J8" s="1" t="s">
        <v>29</v>
      </c>
    </row>
    <row r="9">
      <c r="B9" t="str">
        <f t="shared" ref="B9:F9" si="3">VLOOKUP(B8,$A$26:$B$41,2,FALSE)</f>
        <v>Priyanka Ghosh Kumar</v>
      </c>
      <c r="C9" t="str">
        <f t="shared" si="3"/>
        <v>-</v>
      </c>
      <c r="D9" t="str">
        <f t="shared" si="3"/>
        <v>-</v>
      </c>
      <c r="E9" t="str">
        <f t="shared" si="3"/>
        <v>-</v>
      </c>
      <c r="F9" t="str">
        <f t="shared" si="3"/>
        <v>-</v>
      </c>
      <c r="G9" s="30"/>
      <c r="H9" t="str">
        <f t="shared" ref="H9:J9" si="4">VLOOKUP(H8,$A$26:$B$41,2,FALSE)</f>
        <v>Shely Das/Debarati Banerjee</v>
      </c>
      <c r="I9" t="str">
        <f t="shared" si="4"/>
        <v>-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544</v>
      </c>
      <c r="C12" s="1" t="s">
        <v>549</v>
      </c>
      <c r="D12" s="1" t="s">
        <v>29</v>
      </c>
      <c r="E12" s="1" t="s">
        <v>29</v>
      </c>
      <c r="F12" s="1" t="s">
        <v>29</v>
      </c>
      <c r="G12" s="30"/>
      <c r="H12" s="1" t="s">
        <v>29</v>
      </c>
      <c r="I12" s="1" t="s">
        <v>29</v>
      </c>
      <c r="J12" s="1" t="s">
        <v>29</v>
      </c>
    </row>
    <row r="13">
      <c r="B13" t="str">
        <f t="shared" ref="B13:F13" si="5">VLOOKUP(B12,$A$26:$B$41,2,FALSE)</f>
        <v>Priyanka Ghosh Kumar</v>
      </c>
      <c r="C13" t="str">
        <f t="shared" si="5"/>
        <v>Shely Das/Debarati Banerjee</v>
      </c>
      <c r="D13" t="str">
        <f t="shared" si="5"/>
        <v>-</v>
      </c>
      <c r="E13" t="str">
        <f t="shared" si="5"/>
        <v>-</v>
      </c>
      <c r="F13" t="str">
        <f t="shared" si="5"/>
        <v>-</v>
      </c>
      <c r="G13" s="30"/>
      <c r="H13" t="str">
        <f t="shared" ref="H13:J13" si="6">VLOOKUP(H12,$A$26:$B$41,2,FALSE)</f>
        <v>-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546</v>
      </c>
      <c r="C16" s="1" t="s">
        <v>29</v>
      </c>
      <c r="D16" s="1" t="s">
        <v>29</v>
      </c>
      <c r="E16" s="1" t="s">
        <v>29</v>
      </c>
      <c r="F16" s="1" t="s">
        <v>29</v>
      </c>
      <c r="G16" s="30"/>
      <c r="H16" s="1" t="s">
        <v>548</v>
      </c>
      <c r="I16" s="1" t="s">
        <v>29</v>
      </c>
      <c r="J16" s="1" t="s">
        <v>29</v>
      </c>
    </row>
    <row r="17">
      <c r="B17" t="str">
        <f t="shared" ref="B17:F17" si="7">VLOOKUP(B16,$A$26:$B$41,2,FALSE)</f>
        <v>Priyanka Ghosh Kumar</v>
      </c>
      <c r="C17" t="str">
        <f t="shared" si="7"/>
        <v>-</v>
      </c>
      <c r="D17" t="str">
        <f t="shared" si="7"/>
        <v>-</v>
      </c>
      <c r="E17" t="str">
        <f t="shared" si="7"/>
        <v>-</v>
      </c>
      <c r="F17" t="str">
        <f t="shared" si="7"/>
        <v>-</v>
      </c>
      <c r="G17" s="30"/>
      <c r="H17" t="str">
        <f t="shared" ref="H17:J17" si="8">VLOOKUP(H16,$A$26:$B$41,2,FALSE)</f>
        <v>Sukhvinder Madhok/Lina Mondal</v>
      </c>
      <c r="I17" t="str">
        <f t="shared" si="8"/>
        <v>-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544</v>
      </c>
      <c r="C20" s="1" t="s">
        <v>29</v>
      </c>
      <c r="D20" s="1" t="s">
        <v>29</v>
      </c>
      <c r="E20" s="1" t="s">
        <v>29</v>
      </c>
      <c r="F20" s="1" t="s">
        <v>29</v>
      </c>
      <c r="G20" s="30"/>
      <c r="H20" s="1" t="s">
        <v>29</v>
      </c>
      <c r="I20" s="1" t="s">
        <v>29</v>
      </c>
      <c r="J20" s="1" t="s">
        <v>549</v>
      </c>
    </row>
    <row r="21" ht="15.75" customHeight="1">
      <c r="B21" t="str">
        <f t="shared" ref="B21:F21" si="9">VLOOKUP(B20,$A$26:$B$41,2,FALSE)</f>
        <v>Priyanka Ghosh Kumar</v>
      </c>
      <c r="C21" t="str">
        <f t="shared" si="9"/>
        <v>-</v>
      </c>
      <c r="D21" t="str">
        <f t="shared" si="9"/>
        <v>-</v>
      </c>
      <c r="E21" t="str">
        <f t="shared" si="9"/>
        <v>-</v>
      </c>
      <c r="F21" t="str">
        <f t="shared" si="9"/>
        <v>-</v>
      </c>
      <c r="G21" s="30"/>
      <c r="H21" t="str">
        <f t="shared" ref="H21:J21" si="10">VLOOKUP(H20,$A$26:$B$41,2,FALSE)</f>
        <v>-</v>
      </c>
      <c r="I21" t="str">
        <f t="shared" si="10"/>
        <v>-</v>
      </c>
      <c r="J21" t="str">
        <f t="shared" si="10"/>
        <v>Shely Das/Debarati Banerjee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367</v>
      </c>
      <c r="C26">
        <v>5.0</v>
      </c>
      <c r="D26">
        <f t="shared" ref="D26:D39" si="11">$C26-COUNTIF($A$4:$J$21,$A26)</f>
        <v>5</v>
      </c>
    </row>
    <row r="27" ht="15.75" customHeight="1">
      <c r="A27" t="s">
        <v>538</v>
      </c>
      <c r="B27" t="s">
        <v>110</v>
      </c>
      <c r="C27">
        <v>4.0</v>
      </c>
      <c r="D27">
        <f t="shared" si="11"/>
        <v>4</v>
      </c>
    </row>
    <row r="28" ht="15.75" customHeight="1">
      <c r="A28" t="s">
        <v>537</v>
      </c>
      <c r="B28" t="s">
        <v>151</v>
      </c>
      <c r="C28">
        <v>4.0</v>
      </c>
      <c r="D28">
        <f t="shared" si="11"/>
        <v>4</v>
      </c>
    </row>
    <row r="29" ht="15.75" customHeight="1">
      <c r="A29" t="s">
        <v>541</v>
      </c>
      <c r="B29" t="s">
        <v>118</v>
      </c>
      <c r="C29">
        <v>3.0</v>
      </c>
      <c r="D29">
        <f t="shared" si="11"/>
        <v>3</v>
      </c>
    </row>
    <row r="30" ht="15.75" customHeight="1">
      <c r="A30" t="s">
        <v>540</v>
      </c>
      <c r="B30" t="s">
        <v>176</v>
      </c>
      <c r="C30">
        <v>3.0</v>
      </c>
      <c r="D30">
        <f t="shared" si="11"/>
        <v>3</v>
      </c>
    </row>
    <row r="31" ht="15.75" customHeight="1">
      <c r="A31" t="s">
        <v>547</v>
      </c>
      <c r="B31" t="s">
        <v>116</v>
      </c>
      <c r="C31">
        <v>3.0</v>
      </c>
      <c r="D31">
        <f t="shared" si="11"/>
        <v>3</v>
      </c>
    </row>
    <row r="32" ht="15.75" customHeight="1">
      <c r="A32" t="s">
        <v>539</v>
      </c>
      <c r="B32" t="s">
        <v>328</v>
      </c>
      <c r="C32">
        <v>3.0</v>
      </c>
      <c r="D32">
        <f t="shared" si="11"/>
        <v>3</v>
      </c>
    </row>
    <row r="33" ht="15.75" customHeight="1">
      <c r="A33" t="s">
        <v>534</v>
      </c>
      <c r="B33" t="s">
        <v>252</v>
      </c>
      <c r="C33">
        <v>3.0</v>
      </c>
      <c r="D33">
        <f t="shared" si="11"/>
        <v>3</v>
      </c>
    </row>
    <row r="34" ht="15.75" customHeight="1">
      <c r="A34" t="s">
        <v>1</v>
      </c>
      <c r="B34" t="s">
        <v>1</v>
      </c>
      <c r="C34">
        <v>1.0</v>
      </c>
      <c r="D34">
        <f t="shared" si="11"/>
        <v>1</v>
      </c>
    </row>
    <row r="35" ht="15.75" customHeight="1">
      <c r="A35" t="s">
        <v>549</v>
      </c>
      <c r="B35" t="s">
        <v>588</v>
      </c>
      <c r="C35">
        <v>4.0</v>
      </c>
      <c r="D35">
        <f t="shared" si="11"/>
        <v>0</v>
      </c>
    </row>
    <row r="36" ht="15.75" customHeight="1">
      <c r="A36" t="s">
        <v>544</v>
      </c>
      <c r="B36" t="s">
        <v>220</v>
      </c>
      <c r="C36">
        <v>3.0</v>
      </c>
      <c r="D36">
        <f t="shared" si="11"/>
        <v>0</v>
      </c>
    </row>
    <row r="37" ht="15.75" customHeight="1">
      <c r="A37" t="s">
        <v>546</v>
      </c>
      <c r="B37" t="s">
        <v>220</v>
      </c>
      <c r="C37">
        <v>2.0</v>
      </c>
      <c r="D37">
        <f t="shared" si="11"/>
        <v>0</v>
      </c>
    </row>
    <row r="38" ht="15.75" customHeight="1">
      <c r="A38" t="s">
        <v>545</v>
      </c>
      <c r="B38" t="s">
        <v>234</v>
      </c>
      <c r="C38">
        <v>1.0</v>
      </c>
      <c r="D38">
        <f t="shared" si="11"/>
        <v>0</v>
      </c>
    </row>
    <row r="39" ht="15.75" customHeight="1">
      <c r="A39" t="s">
        <v>548</v>
      </c>
      <c r="B39" t="s">
        <v>572</v>
      </c>
      <c r="C39">
        <v>1.0</v>
      </c>
      <c r="D39">
        <f t="shared" si="11"/>
        <v>0</v>
      </c>
    </row>
    <row r="40" ht="15.75" customHeight="1">
      <c r="A40" t="s">
        <v>29</v>
      </c>
      <c r="B40" t="s">
        <v>253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9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5.86"/>
    <col customWidth="1" min="2" max="2" width="20.71"/>
    <col customWidth="1" min="3" max="7" width="8.71"/>
    <col customWidth="1" min="8" max="8" width="15.86"/>
    <col customWidth="1" min="9" max="26" width="8.71"/>
  </cols>
  <sheetData>
    <row r="1">
      <c r="A1" s="2" t="s">
        <v>185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541</v>
      </c>
      <c r="C4" s="1" t="s">
        <v>549</v>
      </c>
      <c r="D4" s="1" t="s">
        <v>29</v>
      </c>
      <c r="E4" s="1" t="s">
        <v>29</v>
      </c>
      <c r="F4" s="1" t="s">
        <v>29</v>
      </c>
      <c r="G4" s="30"/>
      <c r="H4" s="1" t="s">
        <v>29</v>
      </c>
      <c r="I4" s="1" t="s">
        <v>29</v>
      </c>
      <c r="J4" s="1" t="s">
        <v>29</v>
      </c>
    </row>
    <row r="5">
      <c r="B5" t="str">
        <f t="shared" ref="B5:F5" si="1">VLOOKUP(B4,$A$26:$B$41,2,FALSE)</f>
        <v>Aatrayee Chowdhury</v>
      </c>
      <c r="C5" t="str">
        <f t="shared" si="1"/>
        <v>Sukhvinder Madhok/Samhita Chatterjee</v>
      </c>
      <c r="D5" s="11" t="str">
        <f t="shared" si="1"/>
        <v>-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VLOOKUP(H4,$A$26:$B$41,2,FALSE)</f>
        <v>-</v>
      </c>
      <c r="I5" t="str">
        <f t="shared" si="2"/>
        <v>-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546</v>
      </c>
      <c r="C8" s="1" t="s">
        <v>29</v>
      </c>
      <c r="D8" s="1" t="s">
        <v>29</v>
      </c>
      <c r="E8" s="1" t="s">
        <v>29</v>
      </c>
      <c r="F8" s="1" t="s">
        <v>29</v>
      </c>
      <c r="G8" s="30"/>
      <c r="H8" s="1" t="s">
        <v>549</v>
      </c>
      <c r="I8" s="1" t="s">
        <v>29</v>
      </c>
      <c r="J8" s="1" t="s">
        <v>29</v>
      </c>
    </row>
    <row r="9">
      <c r="B9" t="str">
        <f t="shared" ref="B9:F9" si="3">VLOOKUP(B8,$A$26:$B$41,2,FALSE)</f>
        <v>Aatrayee Chowdhury</v>
      </c>
      <c r="C9" t="str">
        <f t="shared" si="3"/>
        <v>-</v>
      </c>
      <c r="D9" t="str">
        <f t="shared" si="3"/>
        <v>-</v>
      </c>
      <c r="E9" t="str">
        <f t="shared" si="3"/>
        <v>-</v>
      </c>
      <c r="F9" t="str">
        <f t="shared" si="3"/>
        <v>-</v>
      </c>
      <c r="G9" s="30"/>
      <c r="H9" t="str">
        <f t="shared" ref="H9:J9" si="4">VLOOKUP(H8,$A$26:$B$41,2,FALSE)</f>
        <v>Sukhvinder Madhok/Samhita Chatterjee</v>
      </c>
      <c r="I9" t="str">
        <f t="shared" si="4"/>
        <v>-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541</v>
      </c>
      <c r="C12" s="1" t="s">
        <v>549</v>
      </c>
      <c r="D12" s="1" t="s">
        <v>29</v>
      </c>
      <c r="E12" s="1" t="s">
        <v>29</v>
      </c>
      <c r="F12" s="1" t="s">
        <v>29</v>
      </c>
      <c r="G12" s="30"/>
      <c r="H12" s="1" t="s">
        <v>545</v>
      </c>
      <c r="I12" s="1" t="s">
        <v>29</v>
      </c>
      <c r="J12" s="1" t="s">
        <v>29</v>
      </c>
    </row>
    <row r="13">
      <c r="B13" t="str">
        <f t="shared" ref="B13:F13" si="5">VLOOKUP(B12,$A$26:$B$41,2,FALSE)</f>
        <v>Aatrayee Chowdhury</v>
      </c>
      <c r="C13" t="str">
        <f t="shared" si="5"/>
        <v>Sukhvinder Madhok/Samhita Chatterjee</v>
      </c>
      <c r="D13" t="str">
        <f t="shared" si="5"/>
        <v>-</v>
      </c>
      <c r="E13" t="str">
        <f t="shared" si="5"/>
        <v>-</v>
      </c>
      <c r="F13" t="str">
        <f t="shared" si="5"/>
        <v>-</v>
      </c>
      <c r="G13" s="30"/>
      <c r="H13" t="str">
        <f t="shared" ref="H13:J13" si="6">VLOOKUP(H12,$A$26:$B$41,2,FALSE)</f>
        <v>Ransdel Manuel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546</v>
      </c>
      <c r="C16" s="1" t="s">
        <v>29</v>
      </c>
      <c r="D16" s="1" t="s">
        <v>29</v>
      </c>
      <c r="E16" s="1" t="s">
        <v>29</v>
      </c>
      <c r="F16" s="1" t="s">
        <v>29</v>
      </c>
      <c r="G16" s="30"/>
      <c r="H16" s="1" t="s">
        <v>548</v>
      </c>
      <c r="I16" s="1" t="s">
        <v>29</v>
      </c>
      <c r="J16" s="1" t="s">
        <v>29</v>
      </c>
    </row>
    <row r="17">
      <c r="B17" t="str">
        <f t="shared" ref="B17:F17" si="7">VLOOKUP(B16,$A$26:$B$41,2,FALSE)</f>
        <v>Aatrayee Chowdhury</v>
      </c>
      <c r="C17" t="str">
        <f t="shared" si="7"/>
        <v>-</v>
      </c>
      <c r="D17" t="str">
        <f t="shared" si="7"/>
        <v>-</v>
      </c>
      <c r="E17" t="str">
        <f t="shared" si="7"/>
        <v>-</v>
      </c>
      <c r="F17" t="str">
        <f t="shared" si="7"/>
        <v>-</v>
      </c>
      <c r="G17" s="30"/>
      <c r="H17" t="str">
        <f t="shared" ref="H17:J17" si="8">VLOOKUP(H16,$A$26:$B$41,2,FALSE)</f>
        <v>Rekha Shaw/Debarati Banerjee</v>
      </c>
      <c r="I17" t="str">
        <f t="shared" si="8"/>
        <v>-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541</v>
      </c>
      <c r="C20" s="1" t="s">
        <v>29</v>
      </c>
      <c r="D20" s="1" t="s">
        <v>29</v>
      </c>
      <c r="E20" s="1" t="s">
        <v>29</v>
      </c>
      <c r="F20" s="1" t="s">
        <v>29</v>
      </c>
      <c r="G20" s="30"/>
      <c r="H20" s="1" t="s">
        <v>29</v>
      </c>
      <c r="I20" s="1" t="s">
        <v>29</v>
      </c>
      <c r="J20" s="1" t="s">
        <v>549</v>
      </c>
    </row>
    <row r="21" ht="15.75" customHeight="1">
      <c r="B21" t="str">
        <f t="shared" ref="B21:F21" si="9">VLOOKUP(B20,$A$26:$B$41,2,FALSE)</f>
        <v>Aatrayee Chowdhury</v>
      </c>
      <c r="C21" t="str">
        <f t="shared" si="9"/>
        <v>-</v>
      </c>
      <c r="D21" t="str">
        <f t="shared" si="9"/>
        <v>-</v>
      </c>
      <c r="E21" t="str">
        <f t="shared" si="9"/>
        <v>-</v>
      </c>
      <c r="F21" t="str">
        <f t="shared" si="9"/>
        <v>-</v>
      </c>
      <c r="G21" s="30"/>
      <c r="H21" t="str">
        <f t="shared" ref="H21:J21" si="10">VLOOKUP(H20,$A$26:$B$41,2,FALSE)</f>
        <v>-</v>
      </c>
      <c r="I21" t="str">
        <f t="shared" si="10"/>
        <v>-</v>
      </c>
      <c r="J21" t="str">
        <f t="shared" si="10"/>
        <v>Sukhvinder Madhok/Samhita Chatterjee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210</v>
      </c>
      <c r="C26">
        <v>5.0</v>
      </c>
      <c r="D26">
        <f t="shared" ref="D26:D39" si="11">$C26-COUNTIF($A$4:$J$21,$A26)</f>
        <v>5</v>
      </c>
    </row>
    <row r="27" ht="15.75" customHeight="1">
      <c r="A27" t="s">
        <v>538</v>
      </c>
      <c r="B27" t="s">
        <v>71</v>
      </c>
      <c r="C27">
        <v>4.0</v>
      </c>
      <c r="D27">
        <f t="shared" si="11"/>
        <v>4</v>
      </c>
    </row>
    <row r="28" ht="15.75" customHeight="1">
      <c r="A28" t="s">
        <v>537</v>
      </c>
      <c r="B28" t="s">
        <v>110</v>
      </c>
      <c r="C28">
        <v>4.0</v>
      </c>
      <c r="D28">
        <f t="shared" si="11"/>
        <v>4</v>
      </c>
    </row>
    <row r="29" ht="15.75" customHeight="1">
      <c r="A29" t="s">
        <v>540</v>
      </c>
      <c r="B29" t="s">
        <v>168</v>
      </c>
      <c r="C29">
        <v>3.0</v>
      </c>
      <c r="D29">
        <f t="shared" si="11"/>
        <v>3</v>
      </c>
    </row>
    <row r="30" ht="15.75" customHeight="1">
      <c r="A30" t="s">
        <v>534</v>
      </c>
      <c r="B30" t="s">
        <v>360</v>
      </c>
      <c r="C30">
        <v>3.0</v>
      </c>
      <c r="D30">
        <f t="shared" si="11"/>
        <v>3</v>
      </c>
    </row>
    <row r="31" ht="15.75" customHeight="1">
      <c r="A31" t="s">
        <v>547</v>
      </c>
      <c r="B31" t="s">
        <v>26</v>
      </c>
      <c r="C31">
        <v>3.0</v>
      </c>
      <c r="D31">
        <f t="shared" si="11"/>
        <v>3</v>
      </c>
    </row>
    <row r="32" ht="15.75" customHeight="1">
      <c r="A32" t="s">
        <v>544</v>
      </c>
      <c r="B32" t="s">
        <v>123</v>
      </c>
      <c r="C32">
        <v>3.0</v>
      </c>
      <c r="D32">
        <f t="shared" si="11"/>
        <v>3</v>
      </c>
    </row>
    <row r="33" ht="15.75" customHeight="1">
      <c r="A33" t="s">
        <v>539</v>
      </c>
      <c r="B33" t="s">
        <v>137</v>
      </c>
      <c r="C33">
        <v>3.0</v>
      </c>
      <c r="D33">
        <f t="shared" si="11"/>
        <v>3</v>
      </c>
    </row>
    <row r="34" ht="15.75" customHeight="1">
      <c r="A34" t="s">
        <v>1</v>
      </c>
      <c r="B34" t="s">
        <v>1</v>
      </c>
      <c r="C34">
        <v>1.0</v>
      </c>
      <c r="D34">
        <f t="shared" si="11"/>
        <v>1</v>
      </c>
    </row>
    <row r="35" ht="15.75" customHeight="1">
      <c r="A35" t="s">
        <v>549</v>
      </c>
      <c r="B35" t="s">
        <v>584</v>
      </c>
      <c r="C35">
        <v>4.0</v>
      </c>
      <c r="D35">
        <f t="shared" si="11"/>
        <v>0</v>
      </c>
    </row>
    <row r="36" ht="15.75" customHeight="1">
      <c r="A36" t="s">
        <v>541</v>
      </c>
      <c r="B36" t="s">
        <v>562</v>
      </c>
      <c r="C36">
        <v>3.0</v>
      </c>
      <c r="D36">
        <f t="shared" si="11"/>
        <v>0</v>
      </c>
    </row>
    <row r="37" ht="15.75" customHeight="1">
      <c r="A37" t="s">
        <v>546</v>
      </c>
      <c r="B37" t="s">
        <v>562</v>
      </c>
      <c r="C37">
        <v>2.0</v>
      </c>
      <c r="D37">
        <f t="shared" si="11"/>
        <v>0</v>
      </c>
    </row>
    <row r="38" ht="15.75" customHeight="1">
      <c r="A38" t="s">
        <v>545</v>
      </c>
      <c r="B38" t="s">
        <v>234</v>
      </c>
      <c r="C38">
        <v>1.0</v>
      </c>
      <c r="D38">
        <f t="shared" si="11"/>
        <v>0</v>
      </c>
    </row>
    <row r="39" ht="15.75" customHeight="1">
      <c r="A39" t="s">
        <v>548</v>
      </c>
      <c r="B39" t="s">
        <v>586</v>
      </c>
      <c r="C39">
        <v>1.0</v>
      </c>
      <c r="D39">
        <f t="shared" si="11"/>
        <v>0</v>
      </c>
    </row>
    <row r="40" ht="15.75" customHeight="1">
      <c r="A40" t="s">
        <v>29</v>
      </c>
      <c r="B40" t="s">
        <v>253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9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5.86"/>
    <col customWidth="1" min="2" max="2" width="20.71"/>
    <col customWidth="1" min="3" max="26" width="8.71"/>
  </cols>
  <sheetData>
    <row r="1">
      <c r="A1" s="2" t="s">
        <v>188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540</v>
      </c>
      <c r="C4" s="1" t="s">
        <v>549</v>
      </c>
      <c r="D4" s="1" t="s">
        <v>29</v>
      </c>
      <c r="E4" s="1" t="s">
        <v>29</v>
      </c>
      <c r="F4" s="1" t="s">
        <v>29</v>
      </c>
      <c r="G4" s="30"/>
      <c r="H4" s="1" t="s">
        <v>29</v>
      </c>
      <c r="I4" s="1" t="s">
        <v>29</v>
      </c>
      <c r="J4" s="1" t="s">
        <v>29</v>
      </c>
    </row>
    <row r="5">
      <c r="B5" t="str">
        <f t="shared" ref="B5:F5" si="1">VLOOKUP(B4,$A$26:$B$41,2,FALSE)</f>
        <v>Biswajit Das</v>
      </c>
      <c r="C5" t="str">
        <f t="shared" si="1"/>
        <v>Sukhvinder Madhok/Samhita Chatterjee</v>
      </c>
      <c r="D5" s="11" t="str">
        <f t="shared" si="1"/>
        <v>-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VLOOKUP(H4,$A$26:$B$41,2,FALSE)</f>
        <v>-</v>
      </c>
      <c r="I5" t="str">
        <f t="shared" si="2"/>
        <v>-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546</v>
      </c>
      <c r="C8" s="1" t="s">
        <v>29</v>
      </c>
      <c r="D8" s="1" t="s">
        <v>29</v>
      </c>
      <c r="E8" s="1" t="s">
        <v>29</v>
      </c>
      <c r="F8" s="1" t="s">
        <v>29</v>
      </c>
      <c r="G8" s="30"/>
      <c r="H8" s="1" t="s">
        <v>549</v>
      </c>
      <c r="I8" s="1" t="s">
        <v>29</v>
      </c>
      <c r="J8" s="1" t="s">
        <v>29</v>
      </c>
    </row>
    <row r="9">
      <c r="B9" t="str">
        <f t="shared" ref="B9:F9" si="3">VLOOKUP(B8,$A$26:$B$41,2,FALSE)</f>
        <v>Biswajit Das</v>
      </c>
      <c r="C9" t="str">
        <f t="shared" si="3"/>
        <v>-</v>
      </c>
      <c r="D9" t="str">
        <f t="shared" si="3"/>
        <v>-</v>
      </c>
      <c r="E9" t="str">
        <f t="shared" si="3"/>
        <v>-</v>
      </c>
      <c r="F9" t="str">
        <f t="shared" si="3"/>
        <v>-</v>
      </c>
      <c r="G9" s="30"/>
      <c r="H9" t="str">
        <f t="shared" ref="H9:J9" si="4">VLOOKUP(H8,$A$26:$B$41,2,FALSE)</f>
        <v>Sukhvinder Madhok/Samhita Chatterjee</v>
      </c>
      <c r="I9" t="str">
        <f t="shared" si="4"/>
        <v>-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540</v>
      </c>
      <c r="C12" s="1" t="s">
        <v>549</v>
      </c>
      <c r="D12" s="1" t="s">
        <v>29</v>
      </c>
      <c r="E12" s="1" t="s">
        <v>29</v>
      </c>
      <c r="F12" s="1" t="s">
        <v>29</v>
      </c>
      <c r="G12" s="30"/>
      <c r="H12" s="1" t="s">
        <v>545</v>
      </c>
      <c r="I12" s="1" t="s">
        <v>29</v>
      </c>
      <c r="J12" s="1" t="s">
        <v>29</v>
      </c>
    </row>
    <row r="13">
      <c r="B13" t="str">
        <f t="shared" ref="B13:F13" si="5">VLOOKUP(B12,$A$26:$B$41,2,FALSE)</f>
        <v>Biswajit Das</v>
      </c>
      <c r="C13" t="str">
        <f t="shared" si="5"/>
        <v>Sukhvinder Madhok/Samhita Chatterjee</v>
      </c>
      <c r="D13" t="str">
        <f t="shared" si="5"/>
        <v>-</v>
      </c>
      <c r="E13" t="str">
        <f t="shared" si="5"/>
        <v>-</v>
      </c>
      <c r="F13" t="str">
        <f t="shared" si="5"/>
        <v>-</v>
      </c>
      <c r="G13" s="30"/>
      <c r="H13" t="str">
        <f t="shared" ref="H13:J13" si="6">VLOOKUP(H12,$A$26:$B$41,2,FALSE)</f>
        <v>Ransdel Manuel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546</v>
      </c>
      <c r="C16" s="1" t="s">
        <v>29</v>
      </c>
      <c r="D16" s="1" t="s">
        <v>29</v>
      </c>
      <c r="E16" s="1" t="s">
        <v>29</v>
      </c>
      <c r="F16" s="1" t="s">
        <v>29</v>
      </c>
      <c r="G16" s="30"/>
      <c r="H16" s="1" t="s">
        <v>548</v>
      </c>
      <c r="I16" s="1" t="s">
        <v>29</v>
      </c>
      <c r="J16" s="1" t="s">
        <v>29</v>
      </c>
    </row>
    <row r="17">
      <c r="B17" t="str">
        <f t="shared" ref="B17:F17" si="7">VLOOKUP(B16,$A$26:$B$41,2,FALSE)</f>
        <v>Biswajit Das</v>
      </c>
      <c r="C17" t="str">
        <f t="shared" si="7"/>
        <v>-</v>
      </c>
      <c r="D17" t="str">
        <f t="shared" si="7"/>
        <v>-</v>
      </c>
      <c r="E17" t="str">
        <f t="shared" si="7"/>
        <v>-</v>
      </c>
      <c r="F17" t="str">
        <f t="shared" si="7"/>
        <v>-</v>
      </c>
      <c r="G17" s="30"/>
      <c r="H17" t="str">
        <f t="shared" ref="H17:J17" si="8">VLOOKUP(H16,$A$26:$B$41,2,FALSE)</f>
        <v>Rekha Shaw/Debarati Banerjee</v>
      </c>
      <c r="I17" t="str">
        <f t="shared" si="8"/>
        <v>-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540</v>
      </c>
      <c r="C20" s="1" t="s">
        <v>29</v>
      </c>
      <c r="D20" s="1" t="s">
        <v>29</v>
      </c>
      <c r="E20" s="1" t="s">
        <v>29</v>
      </c>
      <c r="F20" s="1" t="s">
        <v>29</v>
      </c>
      <c r="G20" s="30"/>
      <c r="H20" s="1" t="s">
        <v>29</v>
      </c>
      <c r="I20" s="1" t="s">
        <v>29</v>
      </c>
      <c r="J20" s="1" t="s">
        <v>549</v>
      </c>
    </row>
    <row r="21" ht="15.75" customHeight="1">
      <c r="B21" t="str">
        <f t="shared" ref="B21:F21" si="9">VLOOKUP(B20,$A$26:$B$41,2,FALSE)</f>
        <v>Biswajit Das</v>
      </c>
      <c r="C21" t="str">
        <f t="shared" si="9"/>
        <v>-</v>
      </c>
      <c r="D21" t="str">
        <f t="shared" si="9"/>
        <v>-</v>
      </c>
      <c r="E21" t="str">
        <f t="shared" si="9"/>
        <v>-</v>
      </c>
      <c r="F21" t="str">
        <f t="shared" si="9"/>
        <v>-</v>
      </c>
      <c r="G21" s="30"/>
      <c r="H21" t="str">
        <f t="shared" ref="H21:J21" si="10">VLOOKUP(H20,$A$26:$B$41,2,FALSE)</f>
        <v>-</v>
      </c>
      <c r="I21" t="str">
        <f t="shared" si="10"/>
        <v>-</v>
      </c>
      <c r="J21" t="str">
        <f t="shared" si="10"/>
        <v>Sukhvinder Madhok/Samhita Chatterjee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196</v>
      </c>
      <c r="C26">
        <v>5.0</v>
      </c>
      <c r="D26">
        <f t="shared" ref="D26:D39" si="11">$C26-COUNTIF($A$4:$J$21,$A26)</f>
        <v>5</v>
      </c>
    </row>
    <row r="27" ht="15.75" customHeight="1">
      <c r="A27" t="s">
        <v>538</v>
      </c>
      <c r="B27" t="s">
        <v>339</v>
      </c>
      <c r="C27">
        <v>4.0</v>
      </c>
      <c r="D27">
        <f t="shared" si="11"/>
        <v>4</v>
      </c>
    </row>
    <row r="28" ht="15.75" customHeight="1">
      <c r="A28" t="s">
        <v>537</v>
      </c>
      <c r="B28" t="s">
        <v>71</v>
      </c>
      <c r="C28">
        <v>4.0</v>
      </c>
      <c r="D28">
        <f t="shared" si="11"/>
        <v>4</v>
      </c>
    </row>
    <row r="29" ht="15.75" customHeight="1">
      <c r="A29" t="s">
        <v>539</v>
      </c>
      <c r="B29" t="s">
        <v>328</v>
      </c>
      <c r="C29">
        <v>3.0</v>
      </c>
      <c r="D29">
        <f t="shared" si="11"/>
        <v>3</v>
      </c>
    </row>
    <row r="30" ht="15.75" customHeight="1">
      <c r="A30" t="s">
        <v>541</v>
      </c>
      <c r="B30" t="s">
        <v>59</v>
      </c>
      <c r="C30">
        <v>3.0</v>
      </c>
      <c r="D30">
        <f t="shared" si="11"/>
        <v>3</v>
      </c>
    </row>
    <row r="31" ht="15.75" customHeight="1">
      <c r="A31" t="s">
        <v>534</v>
      </c>
      <c r="B31" t="s">
        <v>156</v>
      </c>
      <c r="C31">
        <v>3.0</v>
      </c>
      <c r="D31">
        <f t="shared" si="11"/>
        <v>3</v>
      </c>
    </row>
    <row r="32" ht="15.75" customHeight="1">
      <c r="A32" t="s">
        <v>547</v>
      </c>
      <c r="B32" t="s">
        <v>116</v>
      </c>
      <c r="C32">
        <v>3.0</v>
      </c>
      <c r="D32">
        <f t="shared" si="11"/>
        <v>3</v>
      </c>
    </row>
    <row r="33" ht="15.75" customHeight="1">
      <c r="A33" t="s">
        <v>544</v>
      </c>
      <c r="B33" t="s">
        <v>123</v>
      </c>
      <c r="C33">
        <v>3.0</v>
      </c>
      <c r="D33">
        <f t="shared" si="11"/>
        <v>3</v>
      </c>
    </row>
    <row r="34" ht="15.75" customHeight="1">
      <c r="A34" t="s">
        <v>1</v>
      </c>
      <c r="B34" t="s">
        <v>1</v>
      </c>
      <c r="C34">
        <v>1.0</v>
      </c>
      <c r="D34">
        <f t="shared" si="11"/>
        <v>1</v>
      </c>
    </row>
    <row r="35" ht="15.75" customHeight="1">
      <c r="A35" t="s">
        <v>540</v>
      </c>
      <c r="B35" t="s">
        <v>72</v>
      </c>
      <c r="C35">
        <v>3.0</v>
      </c>
      <c r="D35">
        <f t="shared" si="11"/>
        <v>0</v>
      </c>
    </row>
    <row r="36" ht="15.75" customHeight="1">
      <c r="A36" t="s">
        <v>546</v>
      </c>
      <c r="B36" t="s">
        <v>72</v>
      </c>
      <c r="C36">
        <v>2.0</v>
      </c>
      <c r="D36">
        <f t="shared" si="11"/>
        <v>0</v>
      </c>
    </row>
    <row r="37" ht="15.75" customHeight="1">
      <c r="A37" t="s">
        <v>545</v>
      </c>
      <c r="B37" t="s">
        <v>234</v>
      </c>
      <c r="C37">
        <v>1.0</v>
      </c>
      <c r="D37">
        <f t="shared" si="11"/>
        <v>0</v>
      </c>
    </row>
    <row r="38" ht="15.75" customHeight="1">
      <c r="A38" t="s">
        <v>549</v>
      </c>
      <c r="B38" t="s">
        <v>584</v>
      </c>
      <c r="C38">
        <v>4.0</v>
      </c>
      <c r="D38">
        <f t="shared" si="11"/>
        <v>0</v>
      </c>
    </row>
    <row r="39" ht="15.75" customHeight="1">
      <c r="A39" t="s">
        <v>548</v>
      </c>
      <c r="B39" t="s">
        <v>586</v>
      </c>
      <c r="C39">
        <v>1.0</v>
      </c>
      <c r="D39">
        <f t="shared" si="11"/>
        <v>0</v>
      </c>
    </row>
    <row r="40" ht="15.75" customHeight="1">
      <c r="A40" t="s">
        <v>29</v>
      </c>
      <c r="B40" t="s">
        <v>253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31">
      <formula1>INDIRECT($A$31)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B29">
      <formula1>INDIRECT(#REF!)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9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" width="15.86"/>
    <col customWidth="1" min="3" max="26" width="8.71"/>
  </cols>
  <sheetData>
    <row r="1">
      <c r="A1" s="2" t="s">
        <v>192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547</v>
      </c>
      <c r="C4" s="1" t="s">
        <v>549</v>
      </c>
      <c r="D4" s="1" t="s">
        <v>29</v>
      </c>
      <c r="E4" s="1" t="s">
        <v>29</v>
      </c>
      <c r="F4" s="1" t="s">
        <v>29</v>
      </c>
      <c r="G4" s="30"/>
      <c r="H4" s="1" t="s">
        <v>29</v>
      </c>
      <c r="I4" s="1" t="s">
        <v>545</v>
      </c>
      <c r="J4" s="1" t="s">
        <v>29</v>
      </c>
    </row>
    <row r="5">
      <c r="B5" t="str">
        <f t="shared" ref="B5:F5" si="1">VLOOKUP(B4,$A$26:$B$41,2,FALSE)</f>
        <v>Ushta Kutar</v>
      </c>
      <c r="C5" t="str">
        <f t="shared" si="1"/>
        <v>Rekha Shaw/Lina Mondal</v>
      </c>
      <c r="D5" s="11" t="str">
        <f t="shared" si="1"/>
        <v>-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VLOOKUP(H4,$A$26:$B$41,2,FALSE)</f>
        <v>-</v>
      </c>
      <c r="I5" t="str">
        <f t="shared" si="2"/>
        <v>Ransdel Manuel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546</v>
      </c>
      <c r="C8" s="1" t="s">
        <v>29</v>
      </c>
      <c r="D8" s="1" t="s">
        <v>29</v>
      </c>
      <c r="E8" s="1" t="s">
        <v>29</v>
      </c>
      <c r="F8" s="1" t="s">
        <v>29</v>
      </c>
      <c r="G8" s="30"/>
      <c r="H8" s="1" t="s">
        <v>29</v>
      </c>
      <c r="I8" s="1" t="s">
        <v>549</v>
      </c>
      <c r="J8" s="1" t="s">
        <v>29</v>
      </c>
    </row>
    <row r="9">
      <c r="B9" t="str">
        <f t="shared" ref="B9:F9" si="3">VLOOKUP(B8,$A$26:$B$41,2,FALSE)</f>
        <v>Ushta Kutar</v>
      </c>
      <c r="C9" t="str">
        <f t="shared" si="3"/>
        <v>-</v>
      </c>
      <c r="D9" t="str">
        <f t="shared" si="3"/>
        <v>-</v>
      </c>
      <c r="E9" t="str">
        <f t="shared" si="3"/>
        <v>-</v>
      </c>
      <c r="F9" t="str">
        <f t="shared" si="3"/>
        <v>-</v>
      </c>
      <c r="G9" s="30"/>
      <c r="H9" t="str">
        <f t="shared" ref="H9:J9" si="4">VLOOKUP(H8,$A$26:$B$41,2,FALSE)</f>
        <v>-</v>
      </c>
      <c r="I9" t="str">
        <f t="shared" si="4"/>
        <v>Rekha Shaw/Lina Mondal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547</v>
      </c>
      <c r="C12" s="1" t="s">
        <v>29</v>
      </c>
      <c r="D12" s="1" t="s">
        <v>29</v>
      </c>
      <c r="E12" s="1" t="s">
        <v>29</v>
      </c>
      <c r="F12" s="1" t="s">
        <v>29</v>
      </c>
      <c r="G12" s="30"/>
      <c r="H12" s="1" t="s">
        <v>29</v>
      </c>
      <c r="I12" s="1" t="s">
        <v>29</v>
      </c>
      <c r="J12" s="1" t="s">
        <v>548</v>
      </c>
    </row>
    <row r="13">
      <c r="B13" t="str">
        <f t="shared" ref="B13:F13" si="5">VLOOKUP(B12,$A$26:$B$41,2,FALSE)</f>
        <v>Ushta Kutar</v>
      </c>
      <c r="C13" t="str">
        <f t="shared" si="5"/>
        <v>-</v>
      </c>
      <c r="D13" t="str">
        <f t="shared" si="5"/>
        <v>-</v>
      </c>
      <c r="E13" t="str">
        <f t="shared" si="5"/>
        <v>-</v>
      </c>
      <c r="F13" t="str">
        <f t="shared" si="5"/>
        <v>-</v>
      </c>
      <c r="G13" s="30"/>
      <c r="H13" t="str">
        <f t="shared" ref="H13:J13" si="6">VLOOKUP(H12,$A$26:$B$41,2,FALSE)</f>
        <v>-</v>
      </c>
      <c r="I13" t="str">
        <f t="shared" si="6"/>
        <v>-</v>
      </c>
      <c r="J13" t="str">
        <f t="shared" si="6"/>
        <v>Shely Das/Samhita Chatterjee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546</v>
      </c>
      <c r="C16" s="1" t="s">
        <v>29</v>
      </c>
      <c r="D16" s="1" t="s">
        <v>29</v>
      </c>
      <c r="E16" s="1" t="s">
        <v>549</v>
      </c>
      <c r="F16" s="1" t="s">
        <v>29</v>
      </c>
      <c r="G16" s="30"/>
      <c r="H16" s="1" t="s">
        <v>29</v>
      </c>
      <c r="I16" s="1" t="s">
        <v>29</v>
      </c>
      <c r="J16" s="1" t="s">
        <v>29</v>
      </c>
    </row>
    <row r="17">
      <c r="B17" t="str">
        <f t="shared" ref="B17:F17" si="7">VLOOKUP(B16,$A$26:$B$41,2,FALSE)</f>
        <v>Ushta Kutar</v>
      </c>
      <c r="C17" t="str">
        <f t="shared" si="7"/>
        <v>-</v>
      </c>
      <c r="D17" t="str">
        <f t="shared" si="7"/>
        <v>-</v>
      </c>
      <c r="E17" t="str">
        <f t="shared" si="7"/>
        <v>Rekha Shaw/Lina Mondal</v>
      </c>
      <c r="F17" t="str">
        <f t="shared" si="7"/>
        <v>-</v>
      </c>
      <c r="G17" s="30"/>
      <c r="H17" t="str">
        <f t="shared" ref="H17:J17" si="8">VLOOKUP(H16,$A$26:$B$41,2,FALSE)</f>
        <v>-</v>
      </c>
      <c r="I17" t="str">
        <f t="shared" si="8"/>
        <v>-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547</v>
      </c>
      <c r="C20" s="1" t="s">
        <v>29</v>
      </c>
      <c r="D20" s="1" t="s">
        <v>29</v>
      </c>
      <c r="E20" s="1" t="s">
        <v>29</v>
      </c>
      <c r="F20" s="1" t="s">
        <v>29</v>
      </c>
      <c r="G20" s="30"/>
      <c r="H20" s="1" t="s">
        <v>29</v>
      </c>
      <c r="I20" s="1" t="s">
        <v>29</v>
      </c>
      <c r="J20" s="1" t="s">
        <v>549</v>
      </c>
    </row>
    <row r="21" ht="15.75" customHeight="1">
      <c r="B21" t="str">
        <f t="shared" ref="B21:F21" si="9">VLOOKUP(B20,$A$26:$B$41,2,FALSE)</f>
        <v>Ushta Kutar</v>
      </c>
      <c r="C21" t="str">
        <f t="shared" si="9"/>
        <v>-</v>
      </c>
      <c r="D21" t="str">
        <f t="shared" si="9"/>
        <v>-</v>
      </c>
      <c r="E21" t="str">
        <f t="shared" si="9"/>
        <v>-</v>
      </c>
      <c r="F21" t="str">
        <f t="shared" si="9"/>
        <v>-</v>
      </c>
      <c r="G21" s="30"/>
      <c r="H21" t="str">
        <f t="shared" ref="H21:J21" si="10">VLOOKUP(H20,$A$26:$B$41,2,FALSE)</f>
        <v>-</v>
      </c>
      <c r="I21" t="str">
        <f t="shared" si="10"/>
        <v>-</v>
      </c>
      <c r="J21" t="str">
        <f t="shared" si="10"/>
        <v>Rekha Shaw/Lina Mondal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344</v>
      </c>
      <c r="C26">
        <v>5.0</v>
      </c>
      <c r="D26">
        <f t="shared" ref="D26:D39" si="11">$C26-COUNTIF($A$4:$J$21,$A26)</f>
        <v>5</v>
      </c>
    </row>
    <row r="27" ht="15.75" customHeight="1">
      <c r="A27" t="s">
        <v>538</v>
      </c>
      <c r="B27" t="s">
        <v>17</v>
      </c>
      <c r="C27">
        <v>4.0</v>
      </c>
      <c r="D27">
        <f t="shared" si="11"/>
        <v>4</v>
      </c>
    </row>
    <row r="28" ht="15.75" customHeight="1">
      <c r="A28" t="s">
        <v>544</v>
      </c>
      <c r="B28" t="s">
        <v>220</v>
      </c>
      <c r="C28">
        <v>3.0</v>
      </c>
      <c r="D28">
        <f t="shared" si="11"/>
        <v>3</v>
      </c>
    </row>
    <row r="29" ht="15.75" customHeight="1">
      <c r="A29" t="s">
        <v>537</v>
      </c>
      <c r="B29" t="s">
        <v>110</v>
      </c>
      <c r="C29">
        <v>4.0</v>
      </c>
      <c r="D29">
        <f t="shared" si="11"/>
        <v>4</v>
      </c>
    </row>
    <row r="30" ht="15.75" customHeight="1">
      <c r="A30" t="s">
        <v>541</v>
      </c>
      <c r="B30" t="s">
        <v>59</v>
      </c>
      <c r="C30">
        <v>3.0</v>
      </c>
      <c r="D30">
        <f t="shared" si="11"/>
        <v>3</v>
      </c>
    </row>
    <row r="31" ht="15.75" customHeight="1">
      <c r="A31" t="s">
        <v>540</v>
      </c>
      <c r="B31" t="s">
        <v>176</v>
      </c>
      <c r="C31">
        <v>3.0</v>
      </c>
      <c r="D31">
        <f t="shared" si="11"/>
        <v>3</v>
      </c>
    </row>
    <row r="32" ht="15.75" customHeight="1">
      <c r="A32" t="s">
        <v>534</v>
      </c>
      <c r="B32" t="s">
        <v>156</v>
      </c>
      <c r="C32">
        <v>3.0</v>
      </c>
      <c r="D32">
        <f t="shared" si="11"/>
        <v>3</v>
      </c>
    </row>
    <row r="33" ht="15.75" customHeight="1">
      <c r="A33" t="s">
        <v>539</v>
      </c>
      <c r="B33" t="s">
        <v>137</v>
      </c>
      <c r="C33">
        <v>3.0</v>
      </c>
      <c r="D33">
        <f t="shared" si="11"/>
        <v>3</v>
      </c>
    </row>
    <row r="34" ht="15.75" customHeight="1">
      <c r="A34" t="s">
        <v>1</v>
      </c>
      <c r="B34" t="s">
        <v>1</v>
      </c>
      <c r="C34">
        <v>1.0</v>
      </c>
      <c r="D34">
        <f t="shared" si="11"/>
        <v>1</v>
      </c>
    </row>
    <row r="35" ht="15.75" customHeight="1">
      <c r="A35" t="s">
        <v>547</v>
      </c>
      <c r="B35" t="s">
        <v>363</v>
      </c>
      <c r="C35">
        <v>3.0</v>
      </c>
      <c r="D35">
        <f t="shared" si="11"/>
        <v>0</v>
      </c>
    </row>
    <row r="36" ht="15.75" customHeight="1">
      <c r="A36" t="s">
        <v>546</v>
      </c>
      <c r="B36" t="s">
        <v>363</v>
      </c>
      <c r="C36">
        <v>2.0</v>
      </c>
      <c r="D36">
        <f t="shared" si="11"/>
        <v>0</v>
      </c>
    </row>
    <row r="37" ht="15.75" customHeight="1">
      <c r="A37" t="s">
        <v>545</v>
      </c>
      <c r="B37" t="s">
        <v>234</v>
      </c>
      <c r="C37">
        <v>1.0</v>
      </c>
      <c r="D37">
        <f t="shared" si="11"/>
        <v>0</v>
      </c>
    </row>
    <row r="38" ht="15.75" customHeight="1">
      <c r="A38" t="s">
        <v>549</v>
      </c>
      <c r="B38" t="s">
        <v>563</v>
      </c>
      <c r="C38">
        <v>4.0</v>
      </c>
      <c r="D38">
        <f t="shared" si="11"/>
        <v>0</v>
      </c>
    </row>
    <row r="39" ht="15.75" customHeight="1">
      <c r="A39" t="s">
        <v>548</v>
      </c>
      <c r="B39" t="s">
        <v>581</v>
      </c>
      <c r="C39">
        <v>1.0</v>
      </c>
      <c r="D39">
        <f t="shared" si="11"/>
        <v>0</v>
      </c>
    </row>
    <row r="40" ht="15.75" customHeight="1">
      <c r="A40" t="s">
        <v>29</v>
      </c>
      <c r="B40" t="s">
        <v>253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9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86"/>
    <col customWidth="1" min="2" max="2" width="21.57"/>
    <col customWidth="1" min="3" max="3" width="10.57"/>
    <col customWidth="1" min="4" max="4" width="10.14"/>
    <col customWidth="1" min="5" max="5" width="13.71"/>
    <col customWidth="1" min="6" max="7" width="8.71"/>
    <col customWidth="1" min="8" max="10" width="10.14"/>
    <col customWidth="1" min="11" max="26" width="8.71"/>
  </cols>
  <sheetData>
    <row r="1">
      <c r="A1" s="2" t="s">
        <v>194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537</v>
      </c>
      <c r="C4" s="1" t="s">
        <v>29</v>
      </c>
      <c r="D4" s="1" t="s">
        <v>29</v>
      </c>
      <c r="E4" s="1" t="s">
        <v>29</v>
      </c>
      <c r="F4" s="1" t="s">
        <v>29</v>
      </c>
      <c r="G4" s="30"/>
      <c r="H4" s="1" t="s">
        <v>549</v>
      </c>
      <c r="I4" s="1" t="s">
        <v>29</v>
      </c>
      <c r="J4" s="1" t="s">
        <v>29</v>
      </c>
    </row>
    <row r="5">
      <c r="B5" t="str">
        <f t="shared" ref="B5:F5" si="1">VLOOKUP(B4,$A$26:$B$41,2,FALSE)</f>
        <v>Gillian Zita Culpeper</v>
      </c>
      <c r="C5" t="str">
        <f t="shared" si="1"/>
        <v>-</v>
      </c>
      <c r="D5" s="11" t="str">
        <f t="shared" si="1"/>
        <v>-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VLOOKUP(H4,$A$26:$B$41,2,FALSE)</f>
        <v>Shely Das/Lina Mondal</v>
      </c>
      <c r="I5" t="str">
        <f t="shared" si="2"/>
        <v>-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546</v>
      </c>
      <c r="C8" s="1" t="s">
        <v>549</v>
      </c>
      <c r="D8" s="1" t="s">
        <v>29</v>
      </c>
      <c r="E8" s="1" t="s">
        <v>533</v>
      </c>
      <c r="F8" s="1" t="s">
        <v>29</v>
      </c>
      <c r="G8" s="30"/>
      <c r="H8" s="1" t="s">
        <v>545</v>
      </c>
      <c r="I8" s="1" t="s">
        <v>29</v>
      </c>
      <c r="J8" s="1" t="s">
        <v>29</v>
      </c>
    </row>
    <row r="9">
      <c r="B9" t="str">
        <f t="shared" ref="B9:F9" si="3">VLOOKUP(B8,$A$26:$B$41,2,FALSE)</f>
        <v>Gillian Zita Culpeper</v>
      </c>
      <c r="C9" t="str">
        <f t="shared" si="3"/>
        <v>Shely Das/Lina Mondal</v>
      </c>
      <c r="D9" t="str">
        <f t="shared" si="3"/>
        <v>-</v>
      </c>
      <c r="E9" t="str">
        <f t="shared" si="3"/>
        <v>Sanchayan K Ray/Thomas Antony</v>
      </c>
      <c r="F9" t="str">
        <f t="shared" si="3"/>
        <v>-</v>
      </c>
      <c r="G9" s="30"/>
      <c r="H9" t="str">
        <f t="shared" ref="H9:J9" si="4">VLOOKUP(H8,$A$26:$B$41,2,FALSE)</f>
        <v>Ransdel Manuel</v>
      </c>
      <c r="I9" t="str">
        <f t="shared" si="4"/>
        <v>-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537</v>
      </c>
      <c r="C12" s="1" t="s">
        <v>29</v>
      </c>
      <c r="D12" s="1" t="s">
        <v>29</v>
      </c>
      <c r="E12" s="1" t="s">
        <v>29</v>
      </c>
      <c r="F12" s="1" t="s">
        <v>29</v>
      </c>
      <c r="G12" s="30"/>
      <c r="H12" s="1" t="s">
        <v>29</v>
      </c>
      <c r="I12" s="1" t="s">
        <v>29</v>
      </c>
      <c r="J12" s="1" t="s">
        <v>29</v>
      </c>
    </row>
    <row r="13">
      <c r="B13" t="str">
        <f t="shared" ref="B13:F13" si="5">VLOOKUP(B12,$A$26:$B$41,2,FALSE)</f>
        <v>Gillian Zita Culpeper</v>
      </c>
      <c r="C13" t="str">
        <f t="shared" si="5"/>
        <v>-</v>
      </c>
      <c r="D13" t="str">
        <f t="shared" si="5"/>
        <v>-</v>
      </c>
      <c r="E13" t="str">
        <f t="shared" si="5"/>
        <v>-</v>
      </c>
      <c r="F13" t="str">
        <f t="shared" si="5"/>
        <v>-</v>
      </c>
      <c r="G13" s="30"/>
      <c r="H13" t="str">
        <f t="shared" ref="H13:J13" si="6">VLOOKUP(H12,$A$26:$B$41,2,FALSE)</f>
        <v>-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546</v>
      </c>
      <c r="C16" s="1" t="s">
        <v>29</v>
      </c>
      <c r="D16" s="1" t="s">
        <v>29</v>
      </c>
      <c r="E16" s="1" t="s">
        <v>533</v>
      </c>
      <c r="F16" s="1" t="s">
        <v>537</v>
      </c>
      <c r="G16" s="30"/>
      <c r="H16" s="1" t="s">
        <v>29</v>
      </c>
      <c r="I16" s="1" t="s">
        <v>29</v>
      </c>
      <c r="J16" s="1" t="s">
        <v>549</v>
      </c>
    </row>
    <row r="17">
      <c r="B17" t="str">
        <f t="shared" ref="B17:F17" si="7">VLOOKUP(B16,$A$26:$B$41,2,FALSE)</f>
        <v>Gillian Zita Culpeper</v>
      </c>
      <c r="C17" t="str">
        <f t="shared" si="7"/>
        <v>-</v>
      </c>
      <c r="D17" t="str">
        <f t="shared" si="7"/>
        <v>-</v>
      </c>
      <c r="E17" t="str">
        <f t="shared" si="7"/>
        <v>Sanchayan K Ray/Thomas Antony</v>
      </c>
      <c r="F17" t="str">
        <f t="shared" si="7"/>
        <v>Gillian Zita Culpeper</v>
      </c>
      <c r="G17" s="30"/>
      <c r="H17" t="str">
        <f t="shared" ref="H17:J17" si="8">VLOOKUP(H16,$A$26:$B$41,2,FALSE)</f>
        <v>-</v>
      </c>
      <c r="I17" t="str">
        <f t="shared" si="8"/>
        <v>-</v>
      </c>
      <c r="J17" t="str">
        <f t="shared" si="8"/>
        <v>Shely Das/Lina Mondal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537</v>
      </c>
      <c r="C20" s="1" t="s">
        <v>29</v>
      </c>
      <c r="D20" s="1" t="s">
        <v>29</v>
      </c>
      <c r="E20" s="1" t="s">
        <v>29</v>
      </c>
      <c r="F20" s="1" t="s">
        <v>549</v>
      </c>
      <c r="G20" s="30"/>
      <c r="H20" s="1" t="s">
        <v>29</v>
      </c>
      <c r="I20" s="1" t="s">
        <v>29</v>
      </c>
      <c r="J20" s="1" t="s">
        <v>533</v>
      </c>
    </row>
    <row r="21" ht="15.75" customHeight="1">
      <c r="B21" t="str">
        <f t="shared" ref="B21:F21" si="9">VLOOKUP(B20,$A$26:$B$41,2,FALSE)</f>
        <v>Gillian Zita Culpeper</v>
      </c>
      <c r="C21" t="str">
        <f t="shared" si="9"/>
        <v>-</v>
      </c>
      <c r="D21" t="str">
        <f t="shared" si="9"/>
        <v>-</v>
      </c>
      <c r="E21" t="str">
        <f t="shared" si="9"/>
        <v>-</v>
      </c>
      <c r="F21" t="str">
        <f t="shared" si="9"/>
        <v>Shely Das/Lina Mondal</v>
      </c>
      <c r="G21" s="30"/>
      <c r="H21" t="str">
        <f t="shared" ref="H21:J21" si="10">VLOOKUP(H20,$A$26:$B$41,2,FALSE)</f>
        <v>-</v>
      </c>
      <c r="I21" t="str">
        <f t="shared" si="10"/>
        <v>-</v>
      </c>
      <c r="J21" t="str">
        <f t="shared" si="10"/>
        <v>Sanchayan K Ray/Thomas Antony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210</v>
      </c>
      <c r="C26">
        <v>5.0</v>
      </c>
      <c r="D26">
        <f t="shared" ref="D26:D38" si="11">$C26-COUNTIF($A$4:$J$21,$A26)</f>
        <v>5</v>
      </c>
    </row>
    <row r="27" ht="15.75" customHeight="1">
      <c r="A27" t="s">
        <v>544</v>
      </c>
      <c r="B27" t="s">
        <v>248</v>
      </c>
      <c r="C27">
        <v>4.0</v>
      </c>
      <c r="D27">
        <f t="shared" si="11"/>
        <v>4</v>
      </c>
    </row>
    <row r="28" ht="15.75" customHeight="1">
      <c r="A28" t="s">
        <v>547</v>
      </c>
      <c r="B28" t="s">
        <v>363</v>
      </c>
      <c r="C28">
        <v>4.0</v>
      </c>
      <c r="D28">
        <f t="shared" si="11"/>
        <v>4</v>
      </c>
    </row>
    <row r="29" ht="15.75" customHeight="1">
      <c r="A29" t="s">
        <v>539</v>
      </c>
      <c r="B29" t="s">
        <v>328</v>
      </c>
      <c r="C29">
        <v>3.0</v>
      </c>
      <c r="D29">
        <f t="shared" si="11"/>
        <v>3</v>
      </c>
    </row>
    <row r="30" ht="15.75" customHeight="1">
      <c r="A30" t="s">
        <v>541</v>
      </c>
      <c r="B30" t="s">
        <v>118</v>
      </c>
      <c r="C30">
        <v>3.0</v>
      </c>
      <c r="D30">
        <f t="shared" si="11"/>
        <v>3</v>
      </c>
    </row>
    <row r="31" ht="15.75" customHeight="1">
      <c r="A31" t="s">
        <v>540</v>
      </c>
      <c r="B31" t="s">
        <v>72</v>
      </c>
      <c r="C31">
        <v>3.0</v>
      </c>
      <c r="D31">
        <f t="shared" si="11"/>
        <v>3</v>
      </c>
    </row>
    <row r="32" ht="15.75" customHeight="1">
      <c r="A32" t="s">
        <v>538</v>
      </c>
      <c r="B32" t="s">
        <v>151</v>
      </c>
      <c r="C32">
        <v>3.0</v>
      </c>
      <c r="D32">
        <f t="shared" si="11"/>
        <v>3</v>
      </c>
    </row>
    <row r="33" ht="15.75" customHeight="1">
      <c r="A33" t="s">
        <v>1</v>
      </c>
      <c r="B33" t="s">
        <v>1</v>
      </c>
      <c r="C33">
        <v>1.0</v>
      </c>
      <c r="D33">
        <f t="shared" si="11"/>
        <v>1</v>
      </c>
    </row>
    <row r="34" ht="15.75" customHeight="1">
      <c r="A34" t="s">
        <v>537</v>
      </c>
      <c r="B34" t="s">
        <v>110</v>
      </c>
      <c r="C34">
        <v>4.0</v>
      </c>
      <c r="D34">
        <f t="shared" si="11"/>
        <v>0</v>
      </c>
    </row>
    <row r="35" ht="15.75" customHeight="1">
      <c r="A35" t="s">
        <v>546</v>
      </c>
      <c r="B35" t="s">
        <v>110</v>
      </c>
      <c r="C35">
        <v>2.0</v>
      </c>
      <c r="D35">
        <f t="shared" si="11"/>
        <v>0</v>
      </c>
    </row>
    <row r="36" ht="15.75" customHeight="1">
      <c r="A36" t="s">
        <v>545</v>
      </c>
      <c r="B36" t="s">
        <v>234</v>
      </c>
      <c r="C36">
        <v>1.0</v>
      </c>
      <c r="D36">
        <f t="shared" si="11"/>
        <v>0</v>
      </c>
    </row>
    <row r="37" ht="15.75" customHeight="1">
      <c r="A37" t="s">
        <v>549</v>
      </c>
      <c r="B37" t="s">
        <v>568</v>
      </c>
      <c r="C37">
        <v>4.0</v>
      </c>
      <c r="D37">
        <f t="shared" si="11"/>
        <v>0</v>
      </c>
    </row>
    <row r="38" ht="15.75" customHeight="1">
      <c r="A38" t="s">
        <v>533</v>
      </c>
      <c r="B38" t="s">
        <v>566</v>
      </c>
      <c r="C38">
        <v>3.0</v>
      </c>
      <c r="D38">
        <f t="shared" si="11"/>
        <v>0</v>
      </c>
    </row>
    <row r="39" ht="15.75" customHeight="1">
      <c r="A39" t="s">
        <v>29</v>
      </c>
      <c r="B39" t="s">
        <v>253</v>
      </c>
      <c r="C39">
        <f>SUM(C26:C38)</f>
        <v>40</v>
      </c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39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B29">
      <formula1>INDIRECT(#REF!)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" width="16.86"/>
    <col customWidth="1" min="3" max="3" width="10.57"/>
    <col customWidth="1" min="4" max="6" width="10.14"/>
    <col customWidth="1" min="7" max="7" width="8.71"/>
    <col customWidth="1" min="8" max="10" width="10.14"/>
    <col customWidth="1" min="11" max="26" width="8.71"/>
  </cols>
  <sheetData>
    <row r="1">
      <c r="A1" s="2" t="s">
        <v>199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528</v>
      </c>
      <c r="C4" s="1" t="s">
        <v>29</v>
      </c>
      <c r="D4" s="1" t="s">
        <v>29</v>
      </c>
      <c r="E4" s="1" t="s">
        <v>29</v>
      </c>
      <c r="F4" s="1" t="s">
        <v>29</v>
      </c>
      <c r="G4" s="30"/>
      <c r="H4" s="1" t="s">
        <v>549</v>
      </c>
      <c r="I4" s="1" t="s">
        <v>29</v>
      </c>
      <c r="J4" s="1" t="s">
        <v>29</v>
      </c>
    </row>
    <row r="5">
      <c r="B5" t="str">
        <f t="shared" ref="B5:F5" si="1">VLOOKUP(B4,$A$26:$B$41,2,FALSE)</f>
        <v>Sampa Saha</v>
      </c>
      <c r="C5" t="str">
        <f t="shared" si="1"/>
        <v>-</v>
      </c>
      <c r="D5" s="11" t="str">
        <f t="shared" si="1"/>
        <v>-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VLOOKUP(H4,$A$26:$B$41,2,FALSE)</f>
        <v>Shely Das/Lina Mondal</v>
      </c>
      <c r="I5" t="str">
        <f t="shared" si="2"/>
        <v>-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546</v>
      </c>
      <c r="C8" s="1" t="s">
        <v>549</v>
      </c>
      <c r="D8" s="1" t="s">
        <v>29</v>
      </c>
      <c r="E8" s="1" t="s">
        <v>533</v>
      </c>
      <c r="F8" s="1" t="s">
        <v>528</v>
      </c>
      <c r="G8" s="30"/>
      <c r="H8" s="1" t="s">
        <v>545</v>
      </c>
      <c r="I8" s="1" t="s">
        <v>29</v>
      </c>
      <c r="J8" s="1" t="s">
        <v>29</v>
      </c>
    </row>
    <row r="9">
      <c r="B9" t="str">
        <f t="shared" ref="B9:F9" si="3">VLOOKUP(B8,$A$26:$B$41,2,FALSE)</f>
        <v>Sampa Saha</v>
      </c>
      <c r="C9" t="str">
        <f t="shared" si="3"/>
        <v>Shely Das/Lina Mondal</v>
      </c>
      <c r="D9" t="str">
        <f t="shared" si="3"/>
        <v>-</v>
      </c>
      <c r="E9" t="str">
        <f t="shared" si="3"/>
        <v>Sanchayan K Ray/Thomas Antony</v>
      </c>
      <c r="F9" t="str">
        <f t="shared" si="3"/>
        <v>Sampa Saha</v>
      </c>
      <c r="G9" s="30"/>
      <c r="H9" t="str">
        <f t="shared" ref="H9:J9" si="4">VLOOKUP(H8,$A$26:$B$41,2,FALSE)</f>
        <v>Ransdel Manuel</v>
      </c>
      <c r="I9" t="str">
        <f t="shared" si="4"/>
        <v>-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528</v>
      </c>
      <c r="C12" s="1" t="s">
        <v>29</v>
      </c>
      <c r="D12" s="1" t="s">
        <v>29</v>
      </c>
      <c r="E12" s="1" t="s">
        <v>29</v>
      </c>
      <c r="F12" s="1" t="s">
        <v>29</v>
      </c>
      <c r="G12" s="30"/>
      <c r="H12" s="1" t="s">
        <v>29</v>
      </c>
      <c r="I12" s="1" t="s">
        <v>29</v>
      </c>
      <c r="J12" s="1" t="s">
        <v>29</v>
      </c>
    </row>
    <row r="13">
      <c r="B13" t="str">
        <f t="shared" ref="B13:F13" si="5">VLOOKUP(B12,$A$26:$B$41,2,FALSE)</f>
        <v>Sampa Saha</v>
      </c>
      <c r="C13" t="str">
        <f t="shared" si="5"/>
        <v>-</v>
      </c>
      <c r="D13" t="str">
        <f t="shared" si="5"/>
        <v>-</v>
      </c>
      <c r="E13" t="str">
        <f t="shared" si="5"/>
        <v>-</v>
      </c>
      <c r="F13" t="str">
        <f t="shared" si="5"/>
        <v>-</v>
      </c>
      <c r="G13" s="30"/>
      <c r="H13" t="str">
        <f t="shared" ref="H13:J13" si="6">VLOOKUP(H12,$A$26:$B$41,2,FALSE)</f>
        <v>-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546</v>
      </c>
      <c r="C16" s="1" t="s">
        <v>29</v>
      </c>
      <c r="D16" s="1" t="s">
        <v>29</v>
      </c>
      <c r="E16" s="1" t="s">
        <v>533</v>
      </c>
      <c r="F16" s="1" t="s">
        <v>528</v>
      </c>
      <c r="G16" s="30"/>
      <c r="H16" s="1" t="s">
        <v>29</v>
      </c>
      <c r="I16" s="1" t="s">
        <v>29</v>
      </c>
      <c r="J16" s="1" t="s">
        <v>549</v>
      </c>
    </row>
    <row r="17">
      <c r="B17" t="str">
        <f>VLOOKUP(B16,$A$26:$B$41,2,FALSE)</f>
        <v>Sampa Saha</v>
      </c>
      <c r="C17" t="str">
        <f>VLOOKUP(C20,$A$26:$B$41,2,FALSE)</f>
        <v>-</v>
      </c>
      <c r="D17" t="str">
        <f t="shared" ref="D17:F17" si="7">VLOOKUP(D16,$A$26:$B$41,2,FALSE)</f>
        <v>-</v>
      </c>
      <c r="E17" t="str">
        <f t="shared" si="7"/>
        <v>Sanchayan K Ray/Thomas Antony</v>
      </c>
      <c r="F17" t="str">
        <f t="shared" si="7"/>
        <v>Sampa Saha</v>
      </c>
      <c r="G17" s="30"/>
      <c r="H17" t="str">
        <f t="shared" ref="H17:J17" si="8">VLOOKUP(H16,$A$26:$B$41,2,FALSE)</f>
        <v>-</v>
      </c>
      <c r="I17" t="str">
        <f t="shared" si="8"/>
        <v>-</v>
      </c>
      <c r="J17" t="str">
        <f t="shared" si="8"/>
        <v>Shely Das/Lina Mondal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528</v>
      </c>
      <c r="C20" s="1" t="s">
        <v>29</v>
      </c>
      <c r="D20" s="1" t="s">
        <v>29</v>
      </c>
      <c r="E20" s="1" t="s">
        <v>29</v>
      </c>
      <c r="F20" s="1" t="s">
        <v>549</v>
      </c>
      <c r="G20" s="30"/>
      <c r="H20" s="1" t="s">
        <v>29</v>
      </c>
      <c r="I20" s="1" t="s">
        <v>29</v>
      </c>
      <c r="J20" s="1" t="s">
        <v>533</v>
      </c>
    </row>
    <row r="21" ht="15.75" customHeight="1">
      <c r="B21" t="str">
        <f t="shared" ref="B21:F21" si="9">VLOOKUP(B20,$A$26:$B$41,2,FALSE)</f>
        <v>Sampa Saha</v>
      </c>
      <c r="C21" t="str">
        <f t="shared" si="9"/>
        <v>-</v>
      </c>
      <c r="D21" t="str">
        <f t="shared" si="9"/>
        <v>-</v>
      </c>
      <c r="E21" t="str">
        <f t="shared" si="9"/>
        <v>-</v>
      </c>
      <c r="F21" t="str">
        <f t="shared" si="9"/>
        <v>Shely Das/Lina Mondal</v>
      </c>
      <c r="G21" s="30"/>
      <c r="H21" t="str">
        <f t="shared" ref="H21:J21" si="10">VLOOKUP(H20,$A$26:$B$41,2,FALSE)</f>
        <v>-</v>
      </c>
      <c r="I21" t="str">
        <f t="shared" si="10"/>
        <v>-</v>
      </c>
      <c r="J21" t="str">
        <f t="shared" si="10"/>
        <v>Sanchayan K Ray/Thomas Antony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196</v>
      </c>
      <c r="C26">
        <v>5.0</v>
      </c>
      <c r="D26">
        <f t="shared" ref="D26:D38" si="11">$C26-COUNTIF($A$4:$J$21,$A26)</f>
        <v>0</v>
      </c>
    </row>
    <row r="27" ht="15.75" customHeight="1">
      <c r="A27" t="s">
        <v>547</v>
      </c>
      <c r="B27" t="s">
        <v>116</v>
      </c>
      <c r="C27">
        <v>4.0</v>
      </c>
      <c r="D27">
        <f t="shared" si="11"/>
        <v>4</v>
      </c>
    </row>
    <row r="28" ht="15.75" customHeight="1">
      <c r="A28" t="s">
        <v>544</v>
      </c>
      <c r="B28" t="s">
        <v>339</v>
      </c>
      <c r="C28">
        <v>4.0</v>
      </c>
      <c r="D28">
        <f t="shared" si="11"/>
        <v>4</v>
      </c>
    </row>
    <row r="29" ht="15.75" customHeight="1">
      <c r="A29" t="s">
        <v>537</v>
      </c>
      <c r="B29" t="s">
        <v>71</v>
      </c>
      <c r="C29">
        <v>4.0</v>
      </c>
      <c r="D29">
        <f t="shared" si="11"/>
        <v>4</v>
      </c>
    </row>
    <row r="30" ht="15.75" customHeight="1">
      <c r="A30" t="s">
        <v>541</v>
      </c>
      <c r="B30" t="s">
        <v>59</v>
      </c>
      <c r="C30">
        <v>3.0</v>
      </c>
      <c r="D30">
        <f t="shared" si="11"/>
        <v>3</v>
      </c>
    </row>
    <row r="31" ht="15.75" customHeight="1">
      <c r="A31" t="s">
        <v>540</v>
      </c>
      <c r="B31" t="s">
        <v>168</v>
      </c>
      <c r="C31">
        <v>3.0</v>
      </c>
      <c r="D31">
        <f t="shared" si="11"/>
        <v>3</v>
      </c>
    </row>
    <row r="32" ht="15.75" customHeight="1">
      <c r="A32" t="s">
        <v>538</v>
      </c>
      <c r="B32" t="s">
        <v>321</v>
      </c>
      <c r="C32">
        <v>3.0</v>
      </c>
      <c r="D32">
        <f t="shared" si="11"/>
        <v>3</v>
      </c>
    </row>
    <row r="33" ht="15.75" customHeight="1">
      <c r="A33" t="s">
        <v>539</v>
      </c>
      <c r="B33" t="s">
        <v>137</v>
      </c>
      <c r="C33">
        <v>3.0</v>
      </c>
      <c r="D33">
        <f t="shared" si="11"/>
        <v>3</v>
      </c>
    </row>
    <row r="34" ht="15.75" customHeight="1">
      <c r="A34" t="s">
        <v>1</v>
      </c>
      <c r="B34" t="s">
        <v>1</v>
      </c>
      <c r="C34">
        <v>1.0</v>
      </c>
      <c r="D34">
        <f t="shared" si="11"/>
        <v>1</v>
      </c>
    </row>
    <row r="35" ht="15.75" customHeight="1">
      <c r="A35" t="s">
        <v>546</v>
      </c>
      <c r="B35" t="s">
        <v>196</v>
      </c>
      <c r="C35">
        <v>2.0</v>
      </c>
      <c r="D35">
        <f t="shared" si="11"/>
        <v>0</v>
      </c>
    </row>
    <row r="36" ht="15.75" customHeight="1">
      <c r="A36" t="s">
        <v>545</v>
      </c>
      <c r="B36" t="s">
        <v>234</v>
      </c>
      <c r="C36">
        <v>1.0</v>
      </c>
      <c r="D36">
        <f t="shared" si="11"/>
        <v>0</v>
      </c>
    </row>
    <row r="37" ht="15.75" customHeight="1">
      <c r="A37" t="s">
        <v>549</v>
      </c>
      <c r="B37" t="s">
        <v>568</v>
      </c>
      <c r="C37">
        <v>4.0</v>
      </c>
      <c r="D37">
        <f t="shared" si="11"/>
        <v>0</v>
      </c>
    </row>
    <row r="38" ht="15.75" customHeight="1">
      <c r="A38" t="s">
        <v>533</v>
      </c>
      <c r="B38" t="s">
        <v>566</v>
      </c>
      <c r="C38">
        <v>3.0</v>
      </c>
      <c r="D38">
        <f t="shared" si="11"/>
        <v>0</v>
      </c>
    </row>
    <row r="39" ht="15.75" customHeight="1">
      <c r="A39" t="s">
        <v>29</v>
      </c>
      <c r="B39" t="s">
        <v>253</v>
      </c>
      <c r="C39">
        <f>SUM(C26:C38)</f>
        <v>40</v>
      </c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39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86"/>
    <col customWidth="1" min="2" max="2" width="18.71"/>
    <col customWidth="1" min="3" max="3" width="13.29"/>
    <col customWidth="1" min="4" max="4" width="10.14"/>
    <col customWidth="1" min="5" max="5" width="13.43"/>
    <col customWidth="1" min="6" max="6" width="10.14"/>
    <col customWidth="1" min="7" max="7" width="8.71"/>
    <col customWidth="1" min="8" max="10" width="10.14"/>
    <col customWidth="1" min="11" max="26" width="8.71"/>
  </cols>
  <sheetData>
    <row r="1">
      <c r="A1" s="2" t="s">
        <v>203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528</v>
      </c>
      <c r="C4" s="1" t="s">
        <v>29</v>
      </c>
      <c r="D4" s="1" t="s">
        <v>29</v>
      </c>
      <c r="E4" s="1" t="s">
        <v>29</v>
      </c>
      <c r="F4" s="1" t="s">
        <v>29</v>
      </c>
      <c r="G4" s="30"/>
      <c r="H4" s="1" t="s">
        <v>549</v>
      </c>
      <c r="I4" s="1" t="s">
        <v>29</v>
      </c>
      <c r="J4" s="1" t="s">
        <v>29</v>
      </c>
    </row>
    <row r="5">
      <c r="B5" t="str">
        <f t="shared" ref="B5:F5" si="1">VLOOKUP(B4,$A$26:$B$41,2,FALSE)</f>
        <v>Roy Joseph P.</v>
      </c>
      <c r="C5" t="str">
        <f t="shared" si="1"/>
        <v>-</v>
      </c>
      <c r="D5" s="11" t="str">
        <f t="shared" si="1"/>
        <v>-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VLOOKUP(H4,$A$26:$B$41,2,FALSE)</f>
        <v>Rekha Shaw/Samhita Chatterjee</v>
      </c>
      <c r="I5" t="str">
        <f t="shared" si="2"/>
        <v>-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546</v>
      </c>
      <c r="C8" s="1" t="s">
        <v>549</v>
      </c>
      <c r="D8" s="1" t="s">
        <v>29</v>
      </c>
      <c r="E8" s="1" t="s">
        <v>533</v>
      </c>
      <c r="F8" s="1" t="s">
        <v>528</v>
      </c>
      <c r="G8" s="30"/>
      <c r="H8" s="1" t="s">
        <v>29</v>
      </c>
      <c r="I8" s="1" t="s">
        <v>29</v>
      </c>
      <c r="J8" s="1" t="s">
        <v>29</v>
      </c>
    </row>
    <row r="9">
      <c r="B9" t="str">
        <f t="shared" ref="B9:F9" si="3">VLOOKUP(B8,$A$26:$B$41,2,FALSE)</f>
        <v>Roy Joseph P.</v>
      </c>
      <c r="C9" t="str">
        <f t="shared" si="3"/>
        <v>Rekha Shaw/Samhita Chatterjee</v>
      </c>
      <c r="D9" t="str">
        <f t="shared" si="3"/>
        <v>-</v>
      </c>
      <c r="E9" t="str">
        <f t="shared" si="3"/>
        <v>Monidipa Mukherjee/Sharmilee Acharyya</v>
      </c>
      <c r="F9" t="str">
        <f t="shared" si="3"/>
        <v>Roy Joseph P.</v>
      </c>
      <c r="G9" s="30"/>
      <c r="H9" t="str">
        <f t="shared" ref="H9:J9" si="4">VLOOKUP(H8,$A$26:$B$41,2,FALSE)</f>
        <v>-</v>
      </c>
      <c r="I9" t="str">
        <f t="shared" si="4"/>
        <v>-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528</v>
      </c>
      <c r="C12" s="1" t="s">
        <v>29</v>
      </c>
      <c r="D12" s="1" t="s">
        <v>29</v>
      </c>
      <c r="E12" s="1" t="s">
        <v>29</v>
      </c>
      <c r="F12" s="1" t="s">
        <v>29</v>
      </c>
      <c r="G12" s="30"/>
      <c r="H12" s="1" t="s">
        <v>29</v>
      </c>
      <c r="I12" s="1" t="s">
        <v>29</v>
      </c>
      <c r="J12" s="1" t="s">
        <v>29</v>
      </c>
    </row>
    <row r="13">
      <c r="B13" t="str">
        <f t="shared" ref="B13:F13" si="5">VLOOKUP(B12,$A$26:$B$41,2,FALSE)</f>
        <v>Roy Joseph P.</v>
      </c>
      <c r="C13" t="str">
        <f t="shared" si="5"/>
        <v>-</v>
      </c>
      <c r="D13" t="str">
        <f t="shared" si="5"/>
        <v>-</v>
      </c>
      <c r="E13" t="str">
        <f t="shared" si="5"/>
        <v>-</v>
      </c>
      <c r="F13" t="str">
        <f t="shared" si="5"/>
        <v>-</v>
      </c>
      <c r="G13" s="30"/>
      <c r="H13" t="str">
        <f t="shared" ref="H13:J13" si="6">VLOOKUP(H12,$A$26:$B$41,2,FALSE)</f>
        <v>-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546</v>
      </c>
      <c r="C16" s="1" t="s">
        <v>29</v>
      </c>
      <c r="D16" s="1" t="s">
        <v>29</v>
      </c>
      <c r="E16" s="1" t="s">
        <v>533</v>
      </c>
      <c r="F16" s="1" t="s">
        <v>528</v>
      </c>
      <c r="G16" s="30"/>
      <c r="H16" s="1" t="s">
        <v>29</v>
      </c>
      <c r="I16" s="1" t="s">
        <v>29</v>
      </c>
      <c r="J16" s="1" t="s">
        <v>549</v>
      </c>
    </row>
    <row r="17">
      <c r="B17" t="str">
        <f t="shared" ref="B17:F17" si="7">VLOOKUP(B16,$A$26:$B$41,2,FALSE)</f>
        <v>Roy Joseph P.</v>
      </c>
      <c r="C17" t="str">
        <f t="shared" si="7"/>
        <v>-</v>
      </c>
      <c r="D17" t="str">
        <f t="shared" si="7"/>
        <v>-</v>
      </c>
      <c r="E17" t="str">
        <f t="shared" si="7"/>
        <v>Monidipa Mukherjee/Sharmilee Acharyya</v>
      </c>
      <c r="F17" t="str">
        <f t="shared" si="7"/>
        <v>Roy Joseph P.</v>
      </c>
      <c r="G17" s="30"/>
      <c r="H17" t="str">
        <f t="shared" ref="H17:J17" si="8">VLOOKUP(H16,$A$26:$B$41,2,FALSE)</f>
        <v>-</v>
      </c>
      <c r="I17" t="str">
        <f t="shared" si="8"/>
        <v>-</v>
      </c>
      <c r="J17" t="str">
        <f t="shared" si="8"/>
        <v>Rekha Shaw/Samhita Chatterjee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528</v>
      </c>
      <c r="C20" s="1" t="s">
        <v>29</v>
      </c>
      <c r="D20" s="1" t="s">
        <v>29</v>
      </c>
      <c r="E20" s="1" t="s">
        <v>539</v>
      </c>
      <c r="F20" s="1" t="s">
        <v>549</v>
      </c>
      <c r="G20" s="30"/>
      <c r="H20" s="1" t="s">
        <v>29</v>
      </c>
      <c r="I20" s="1" t="s">
        <v>29</v>
      </c>
      <c r="J20" s="1" t="s">
        <v>533</v>
      </c>
    </row>
    <row r="21" ht="15.75" customHeight="1">
      <c r="B21" t="str">
        <f t="shared" ref="B21:F21" si="9">VLOOKUP(B20,$A$26:$B$41,2,FALSE)</f>
        <v>Roy Joseph P.</v>
      </c>
      <c r="C21" t="str">
        <f t="shared" si="9"/>
        <v>-</v>
      </c>
      <c r="D21" t="str">
        <f t="shared" si="9"/>
        <v>-</v>
      </c>
      <c r="E21" t="str">
        <f t="shared" si="9"/>
        <v>Abirlal Chatterjee</v>
      </c>
      <c r="F21" t="str">
        <f t="shared" si="9"/>
        <v>Rekha Shaw/Samhita Chatterjee</v>
      </c>
      <c r="G21" s="30"/>
      <c r="H21" t="str">
        <f t="shared" ref="H21:J21" si="10">VLOOKUP(H20,$A$26:$B$41,2,FALSE)</f>
        <v>-</v>
      </c>
      <c r="I21" t="str">
        <f t="shared" si="10"/>
        <v>-</v>
      </c>
      <c r="J21" t="str">
        <f t="shared" si="10"/>
        <v>Monidipa Mukherjee/Sharmilee Acharyya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547</v>
      </c>
      <c r="B26" t="s">
        <v>363</v>
      </c>
      <c r="C26">
        <v>4.0</v>
      </c>
      <c r="D26">
        <f t="shared" ref="D26:D38" si="11">$C26-COUNTIF($A$4:$J$21,$A26)</f>
        <v>4</v>
      </c>
    </row>
    <row r="27" ht="15.75" customHeight="1">
      <c r="A27" t="s">
        <v>544</v>
      </c>
      <c r="B27" t="s">
        <v>220</v>
      </c>
      <c r="C27">
        <v>4.0</v>
      </c>
      <c r="D27">
        <f t="shared" si="11"/>
        <v>4</v>
      </c>
    </row>
    <row r="28" ht="15.75" customHeight="1">
      <c r="A28" t="s">
        <v>537</v>
      </c>
      <c r="B28" t="s">
        <v>201</v>
      </c>
      <c r="C28">
        <v>4.0</v>
      </c>
      <c r="D28">
        <f t="shared" si="11"/>
        <v>4</v>
      </c>
    </row>
    <row r="29" ht="15.75" customHeight="1">
      <c r="A29" t="s">
        <v>541</v>
      </c>
      <c r="B29" t="s">
        <v>98</v>
      </c>
      <c r="C29">
        <v>3.0</v>
      </c>
      <c r="D29">
        <f t="shared" si="11"/>
        <v>3</v>
      </c>
    </row>
    <row r="30" ht="15.75" customHeight="1">
      <c r="A30" t="s">
        <v>540</v>
      </c>
      <c r="B30" t="s">
        <v>72</v>
      </c>
      <c r="C30">
        <v>3.0</v>
      </c>
      <c r="D30">
        <f t="shared" si="11"/>
        <v>3</v>
      </c>
    </row>
    <row r="31" ht="15.75" customHeight="1">
      <c r="A31" t="s">
        <v>538</v>
      </c>
      <c r="B31" t="s">
        <v>164</v>
      </c>
      <c r="C31">
        <v>3.0</v>
      </c>
      <c r="D31">
        <f t="shared" si="11"/>
        <v>3</v>
      </c>
    </row>
    <row r="32" ht="15.75" customHeight="1">
      <c r="A32" t="s">
        <v>539</v>
      </c>
      <c r="B32" t="s">
        <v>25</v>
      </c>
      <c r="C32">
        <v>3.0</v>
      </c>
      <c r="D32">
        <f t="shared" si="11"/>
        <v>2</v>
      </c>
    </row>
    <row r="33" ht="15.75" customHeight="1">
      <c r="A33" t="s">
        <v>1</v>
      </c>
      <c r="B33" t="s">
        <v>1</v>
      </c>
      <c r="C33">
        <v>1.0</v>
      </c>
      <c r="D33">
        <f t="shared" si="11"/>
        <v>1</v>
      </c>
    </row>
    <row r="34" ht="15.75" customHeight="1">
      <c r="A34" t="s">
        <v>545</v>
      </c>
      <c r="B34" t="s">
        <v>234</v>
      </c>
      <c r="C34">
        <v>1.0</v>
      </c>
      <c r="D34">
        <f t="shared" si="11"/>
        <v>1</v>
      </c>
    </row>
    <row r="35" ht="15.75" customHeight="1">
      <c r="A35" t="s">
        <v>528</v>
      </c>
      <c r="B35" t="s">
        <v>219</v>
      </c>
      <c r="C35">
        <v>5.0</v>
      </c>
      <c r="D35">
        <f t="shared" si="11"/>
        <v>0</v>
      </c>
    </row>
    <row r="36" ht="15.75" customHeight="1">
      <c r="A36" t="s">
        <v>546</v>
      </c>
      <c r="B36" t="s">
        <v>219</v>
      </c>
      <c r="C36">
        <v>2.0</v>
      </c>
      <c r="D36">
        <f t="shared" si="11"/>
        <v>0</v>
      </c>
    </row>
    <row r="37" ht="15.75" customHeight="1">
      <c r="A37" t="s">
        <v>549</v>
      </c>
      <c r="B37" t="s">
        <v>576</v>
      </c>
      <c r="C37">
        <v>4.0</v>
      </c>
      <c r="D37">
        <f t="shared" si="11"/>
        <v>0</v>
      </c>
    </row>
    <row r="38" ht="15.75" customHeight="1">
      <c r="A38" t="s">
        <v>533</v>
      </c>
      <c r="B38" t="s">
        <v>579</v>
      </c>
      <c r="C38">
        <v>3.0</v>
      </c>
      <c r="D38">
        <f t="shared" si="11"/>
        <v>0</v>
      </c>
    </row>
    <row r="39" ht="15.75" customHeight="1">
      <c r="A39" t="s">
        <v>29</v>
      </c>
      <c r="B39" t="s">
        <v>253</v>
      </c>
      <c r="C39">
        <f>SUM(C26:C38)</f>
        <v>40</v>
      </c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39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86"/>
    <col customWidth="1" min="2" max="2" width="21.29"/>
    <col customWidth="1" min="3" max="3" width="12.71"/>
    <col customWidth="1" min="4" max="4" width="9.29"/>
    <col customWidth="1" min="5" max="6" width="10.14"/>
    <col customWidth="1" min="7" max="7" width="8.71"/>
    <col customWidth="1" min="8" max="10" width="10.14"/>
    <col customWidth="1" min="11" max="26" width="8.71"/>
  </cols>
  <sheetData>
    <row r="1">
      <c r="A1" s="2" t="s">
        <v>209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544</v>
      </c>
      <c r="C4" s="1" t="s">
        <v>29</v>
      </c>
      <c r="D4" s="1" t="s">
        <v>29</v>
      </c>
      <c r="E4" s="1" t="s">
        <v>29</v>
      </c>
      <c r="F4" s="1" t="s">
        <v>29</v>
      </c>
      <c r="G4" s="30"/>
      <c r="H4" s="1" t="s">
        <v>549</v>
      </c>
      <c r="I4" s="1" t="s">
        <v>29</v>
      </c>
      <c r="J4" s="1" t="s">
        <v>29</v>
      </c>
    </row>
    <row r="5">
      <c r="B5" t="str">
        <f t="shared" ref="B5:F5" si="1">VLOOKUP(B4,$A$26:$B$41,2,FALSE)</f>
        <v>Rebecca Venita Tamang Karthak</v>
      </c>
      <c r="C5" t="str">
        <f t="shared" si="1"/>
        <v>-</v>
      </c>
      <c r="D5" s="11" t="str">
        <f t="shared" si="1"/>
        <v>-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VLOOKUP(H4,$A$26:$B$41,2,FALSE)</f>
        <v>Rekha Shaw/Samhita Chatterjee</v>
      </c>
      <c r="I5" t="str">
        <f t="shared" si="2"/>
        <v>-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546</v>
      </c>
      <c r="C8" s="1" t="s">
        <v>549</v>
      </c>
      <c r="D8" s="1" t="s">
        <v>544</v>
      </c>
      <c r="E8" s="1" t="s">
        <v>533</v>
      </c>
      <c r="F8" s="1" t="s">
        <v>29</v>
      </c>
      <c r="G8" s="30"/>
      <c r="H8" s="1" t="s">
        <v>29</v>
      </c>
      <c r="I8" s="1" t="s">
        <v>29</v>
      </c>
      <c r="J8" s="1" t="s">
        <v>29</v>
      </c>
    </row>
    <row r="9">
      <c r="B9" t="str">
        <f t="shared" ref="B9:F9" si="3">VLOOKUP(B8,$A$26:$B$41,2,FALSE)</f>
        <v>Rebecca Venita Tamang Karthak</v>
      </c>
      <c r="C9" t="str">
        <f t="shared" si="3"/>
        <v>Rekha Shaw/Samhita Chatterjee</v>
      </c>
      <c r="D9" t="str">
        <f t="shared" si="3"/>
        <v>Rebecca Venita Tamang Karthak</v>
      </c>
      <c r="E9" t="str">
        <f t="shared" si="3"/>
        <v>Monidipa Mukherjee/Sharmilee Acharyya</v>
      </c>
      <c r="F9" t="str">
        <f t="shared" si="3"/>
        <v>-</v>
      </c>
      <c r="G9" s="30"/>
      <c r="H9" t="str">
        <f t="shared" ref="H9:J9" si="4">VLOOKUP(H8,$A$26:$B$41,2,FALSE)</f>
        <v>-</v>
      </c>
      <c r="I9" t="str">
        <f t="shared" si="4"/>
        <v>-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544</v>
      </c>
      <c r="C12" s="1" t="s">
        <v>29</v>
      </c>
      <c r="D12" s="1" t="s">
        <v>29</v>
      </c>
      <c r="E12" s="1" t="s">
        <v>29</v>
      </c>
      <c r="F12" s="1" t="s">
        <v>29</v>
      </c>
      <c r="G12" s="30"/>
      <c r="H12" s="1" t="s">
        <v>29</v>
      </c>
      <c r="I12" s="1" t="s">
        <v>29</v>
      </c>
      <c r="J12" s="1" t="s">
        <v>29</v>
      </c>
    </row>
    <row r="13">
      <c r="B13" t="str">
        <f t="shared" ref="B13:F13" si="5">VLOOKUP(B12,$A$26:$B$41,2,FALSE)</f>
        <v>Rebecca Venita Tamang Karthak</v>
      </c>
      <c r="C13" t="str">
        <f t="shared" si="5"/>
        <v>-</v>
      </c>
      <c r="D13" t="str">
        <f t="shared" si="5"/>
        <v>-</v>
      </c>
      <c r="E13" t="str">
        <f t="shared" si="5"/>
        <v>-</v>
      </c>
      <c r="F13" t="str">
        <f t="shared" si="5"/>
        <v>-</v>
      </c>
      <c r="G13" s="30"/>
      <c r="H13" t="str">
        <f t="shared" ref="H13:J13" si="6">VLOOKUP(H12,$A$26:$B$41,2,FALSE)</f>
        <v>-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546</v>
      </c>
      <c r="C16" s="1" t="s">
        <v>29</v>
      </c>
      <c r="D16" s="1" t="s">
        <v>29</v>
      </c>
      <c r="E16" s="1" t="s">
        <v>533</v>
      </c>
      <c r="F16" s="1" t="s">
        <v>29</v>
      </c>
      <c r="G16" s="30"/>
      <c r="H16" s="1" t="s">
        <v>29</v>
      </c>
      <c r="I16" s="1" t="s">
        <v>29</v>
      </c>
      <c r="J16" s="1" t="s">
        <v>549</v>
      </c>
    </row>
    <row r="17">
      <c r="B17" t="str">
        <f t="shared" ref="B17:F17" si="7">VLOOKUP(B16,$A$26:$B$41,2,FALSE)</f>
        <v>Rebecca Venita Tamang Karthak</v>
      </c>
      <c r="C17" t="str">
        <f t="shared" si="7"/>
        <v>-</v>
      </c>
      <c r="D17" t="str">
        <f t="shared" si="7"/>
        <v>-</v>
      </c>
      <c r="E17" t="str">
        <f t="shared" si="7"/>
        <v>Monidipa Mukherjee/Sharmilee Acharyya</v>
      </c>
      <c r="F17" t="str">
        <f t="shared" si="7"/>
        <v>-</v>
      </c>
      <c r="G17" s="30"/>
      <c r="H17" t="str">
        <f t="shared" ref="H17:J17" si="8">VLOOKUP(H16,$A$26:$B$41,2,FALSE)</f>
        <v>-</v>
      </c>
      <c r="I17" t="str">
        <f t="shared" si="8"/>
        <v>-</v>
      </c>
      <c r="J17" t="str">
        <f t="shared" si="8"/>
        <v>Rekha Shaw/Samhita Chatterjee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544</v>
      </c>
      <c r="C20" s="1" t="s">
        <v>29</v>
      </c>
      <c r="D20" s="1" t="s">
        <v>29</v>
      </c>
      <c r="E20" s="1" t="s">
        <v>29</v>
      </c>
      <c r="F20" s="1" t="s">
        <v>549</v>
      </c>
      <c r="G20" s="30"/>
      <c r="H20" s="1" t="s">
        <v>29</v>
      </c>
      <c r="I20" s="1" t="s">
        <v>29</v>
      </c>
      <c r="J20" s="1" t="s">
        <v>533</v>
      </c>
    </row>
    <row r="21" ht="15.75" customHeight="1">
      <c r="B21" t="str">
        <f t="shared" ref="B21:F21" si="9">VLOOKUP(B20,$A$26:$B$41,2,FALSE)</f>
        <v>Rebecca Venita Tamang Karthak</v>
      </c>
      <c r="C21" t="str">
        <f t="shared" si="9"/>
        <v>-</v>
      </c>
      <c r="D21" t="str">
        <f t="shared" si="9"/>
        <v>-</v>
      </c>
      <c r="E21" t="str">
        <f t="shared" si="9"/>
        <v>-</v>
      </c>
      <c r="F21" t="str">
        <f t="shared" si="9"/>
        <v>Rekha Shaw/Samhita Chatterjee</v>
      </c>
      <c r="G21" s="30"/>
      <c r="H21" t="str">
        <f t="shared" ref="H21:J21" si="10">VLOOKUP(H20,$A$26:$B$41,2,FALSE)</f>
        <v>-</v>
      </c>
      <c r="I21" t="str">
        <f t="shared" si="10"/>
        <v>-</v>
      </c>
      <c r="J21" t="str">
        <f t="shared" si="10"/>
        <v>Monidipa Mukherjee/Sharmilee Acharyya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344</v>
      </c>
      <c r="C26">
        <v>5.0</v>
      </c>
      <c r="D26">
        <f t="shared" ref="D26:D38" si="11">$C26-COUNTIF($A$4:$J$21,$A26)</f>
        <v>5</v>
      </c>
    </row>
    <row r="27" ht="15.75" customHeight="1">
      <c r="A27" t="s">
        <v>537</v>
      </c>
      <c r="B27" t="s">
        <v>17</v>
      </c>
      <c r="C27">
        <v>4.0</v>
      </c>
      <c r="D27">
        <f t="shared" si="11"/>
        <v>4</v>
      </c>
    </row>
    <row r="28" ht="15.75" customHeight="1">
      <c r="A28" t="s">
        <v>547</v>
      </c>
      <c r="B28" t="s">
        <v>26</v>
      </c>
      <c r="C28">
        <v>4.0</v>
      </c>
      <c r="D28">
        <f t="shared" si="11"/>
        <v>4</v>
      </c>
    </row>
    <row r="29" ht="15.75" customHeight="1">
      <c r="A29" t="s">
        <v>541</v>
      </c>
      <c r="B29" t="s">
        <v>59</v>
      </c>
      <c r="C29">
        <v>3.0</v>
      </c>
      <c r="D29">
        <f t="shared" si="11"/>
        <v>3</v>
      </c>
    </row>
    <row r="30" ht="15.75" customHeight="1">
      <c r="A30" t="s">
        <v>540</v>
      </c>
      <c r="B30" t="s">
        <v>168</v>
      </c>
      <c r="C30">
        <v>3.0</v>
      </c>
      <c r="D30">
        <f t="shared" si="11"/>
        <v>3</v>
      </c>
    </row>
    <row r="31" ht="15.75" customHeight="1">
      <c r="A31" t="s">
        <v>538</v>
      </c>
      <c r="B31" t="s">
        <v>339</v>
      </c>
      <c r="C31">
        <v>3.0</v>
      </c>
      <c r="D31">
        <f t="shared" si="11"/>
        <v>3</v>
      </c>
    </row>
    <row r="32" ht="15.75" customHeight="1">
      <c r="A32" t="s">
        <v>539</v>
      </c>
      <c r="B32" t="s">
        <v>137</v>
      </c>
      <c r="C32">
        <v>3.0</v>
      </c>
      <c r="D32">
        <f t="shared" si="11"/>
        <v>3</v>
      </c>
    </row>
    <row r="33" ht="15.75" customHeight="1">
      <c r="A33" t="s">
        <v>545</v>
      </c>
      <c r="B33" t="s">
        <v>234</v>
      </c>
      <c r="C33">
        <v>1.0</v>
      </c>
      <c r="D33">
        <f t="shared" si="11"/>
        <v>1</v>
      </c>
    </row>
    <row r="34" ht="15.75" customHeight="1">
      <c r="A34" t="s">
        <v>1</v>
      </c>
      <c r="B34" t="s">
        <v>1</v>
      </c>
      <c r="C34">
        <v>1.0</v>
      </c>
      <c r="D34">
        <f t="shared" si="11"/>
        <v>1</v>
      </c>
    </row>
    <row r="35" ht="15.75" customHeight="1">
      <c r="A35" t="s">
        <v>544</v>
      </c>
      <c r="B35" t="s">
        <v>248</v>
      </c>
      <c r="C35">
        <v>4.0</v>
      </c>
      <c r="D35">
        <f t="shared" si="11"/>
        <v>0</v>
      </c>
    </row>
    <row r="36" ht="15.75" customHeight="1">
      <c r="A36" t="s">
        <v>546</v>
      </c>
      <c r="B36" t="s">
        <v>248</v>
      </c>
      <c r="C36">
        <v>2.0</v>
      </c>
      <c r="D36">
        <f t="shared" si="11"/>
        <v>0</v>
      </c>
    </row>
    <row r="37" ht="15.75" customHeight="1">
      <c r="A37" t="s">
        <v>549</v>
      </c>
      <c r="B37" t="s">
        <v>576</v>
      </c>
      <c r="C37">
        <v>4.0</v>
      </c>
      <c r="D37">
        <f t="shared" si="11"/>
        <v>0</v>
      </c>
    </row>
    <row r="38" ht="15.75" customHeight="1">
      <c r="A38" t="s">
        <v>533</v>
      </c>
      <c r="B38" t="s">
        <v>579</v>
      </c>
      <c r="C38">
        <v>3.0</v>
      </c>
      <c r="D38">
        <f t="shared" si="11"/>
        <v>0</v>
      </c>
    </row>
    <row r="39" ht="15.75" customHeight="1">
      <c r="A39" t="s">
        <v>29</v>
      </c>
      <c r="B39" t="s">
        <v>253</v>
      </c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39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86"/>
    <col customWidth="1" min="2" max="2" width="16.0"/>
    <col customWidth="1" min="3" max="3" width="18.57"/>
    <col customWidth="1" min="4" max="5" width="10.14"/>
    <col customWidth="1" min="6" max="6" width="17.14"/>
    <col customWidth="1" min="7" max="7" width="8.71"/>
    <col customWidth="1" min="8" max="9" width="10.14"/>
    <col customWidth="1" min="10" max="10" width="14.0"/>
    <col customWidth="1" min="11" max="26" width="8.71"/>
  </cols>
  <sheetData>
    <row r="1">
      <c r="A1" s="2" t="s">
        <v>212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528</v>
      </c>
      <c r="C4" s="1" t="s">
        <v>29</v>
      </c>
      <c r="D4" s="1" t="s">
        <v>29</v>
      </c>
      <c r="E4" s="1" t="s">
        <v>29</v>
      </c>
      <c r="F4" s="1" t="s">
        <v>29</v>
      </c>
      <c r="G4" s="30"/>
      <c r="H4" s="1" t="s">
        <v>549</v>
      </c>
      <c r="I4" s="1" t="s">
        <v>29</v>
      </c>
      <c r="J4" s="1" t="s">
        <v>29</v>
      </c>
    </row>
    <row r="5">
      <c r="B5" t="str">
        <f t="shared" ref="B5:F5" si="1">VLOOKUP(B4,$A$26:$B$40,2,FALSE)</f>
        <v>Vincy Kuriakose</v>
      </c>
      <c r="C5" t="str">
        <f t="shared" si="1"/>
        <v>-</v>
      </c>
      <c r="D5" s="11" t="str">
        <f t="shared" si="1"/>
        <v>-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VLOOKUP(H4,$A$26:$B$40,2,FALSE)</f>
        <v>Sukhvinder Madhok</v>
      </c>
      <c r="I5" t="str">
        <f t="shared" si="2"/>
        <v>-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546</v>
      </c>
      <c r="C8" s="1" t="s">
        <v>549</v>
      </c>
      <c r="D8" s="1" t="s">
        <v>528</v>
      </c>
      <c r="E8" s="1" t="s">
        <v>533</v>
      </c>
      <c r="F8" s="1" t="s">
        <v>29</v>
      </c>
      <c r="G8" s="30"/>
      <c r="H8" s="1" t="s">
        <v>29</v>
      </c>
      <c r="I8" s="1" t="s">
        <v>29</v>
      </c>
      <c r="J8" s="1" t="s">
        <v>29</v>
      </c>
    </row>
    <row r="9">
      <c r="B9" t="str">
        <f t="shared" ref="B9:F9" si="3">VLOOKUP(B8,$A$26:$B$40,2,FALSE)</f>
        <v>Vincy Kuriakose</v>
      </c>
      <c r="C9" t="str">
        <f t="shared" si="3"/>
        <v>Sukhvinder Madhok</v>
      </c>
      <c r="D9" t="str">
        <f t="shared" si="3"/>
        <v>Vincy Kuriakose</v>
      </c>
      <c r="E9" t="str">
        <f t="shared" si="3"/>
        <v>Tulika Chatterjee</v>
      </c>
      <c r="F9" t="str">
        <f t="shared" si="3"/>
        <v>-</v>
      </c>
      <c r="G9" s="30"/>
      <c r="H9" t="str">
        <f t="shared" ref="H9:J9" si="4">VLOOKUP(H8,$A$26:$B$40,2,FALSE)</f>
        <v>-</v>
      </c>
      <c r="I9" t="str">
        <f t="shared" si="4"/>
        <v>-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528</v>
      </c>
      <c r="C12" s="1" t="s">
        <v>29</v>
      </c>
      <c r="D12" s="1" t="s">
        <v>29</v>
      </c>
      <c r="E12" s="1" t="s">
        <v>29</v>
      </c>
      <c r="F12" s="1" t="s">
        <v>29</v>
      </c>
      <c r="G12" s="30"/>
      <c r="H12" s="1" t="s">
        <v>29</v>
      </c>
      <c r="I12" s="1" t="s">
        <v>29</v>
      </c>
      <c r="J12" s="1" t="s">
        <v>545</v>
      </c>
    </row>
    <row r="13">
      <c r="B13" t="str">
        <f t="shared" ref="B13:F13" si="5">VLOOKUP(B12,$A$26:$B$40,2,FALSE)</f>
        <v>Vincy Kuriakose</v>
      </c>
      <c r="C13" t="str">
        <f t="shared" si="5"/>
        <v>-</v>
      </c>
      <c r="D13" t="str">
        <f t="shared" si="5"/>
        <v>-</v>
      </c>
      <c r="E13" t="str">
        <f t="shared" si="5"/>
        <v>-</v>
      </c>
      <c r="F13" t="str">
        <f t="shared" si="5"/>
        <v>-</v>
      </c>
      <c r="G13" s="30"/>
      <c r="H13" t="str">
        <f t="shared" ref="H13:J13" si="6">VLOOKUP(H12,$A$26:$B$40,2,FALSE)</f>
        <v>-</v>
      </c>
      <c r="I13" t="str">
        <f t="shared" si="6"/>
        <v>-</v>
      </c>
      <c r="J13" t="str">
        <f t="shared" si="6"/>
        <v>Ransdel Manuel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546</v>
      </c>
      <c r="C16" s="1" t="s">
        <v>29</v>
      </c>
      <c r="D16" s="1" t="s">
        <v>528</v>
      </c>
      <c r="E16" s="1" t="s">
        <v>533</v>
      </c>
      <c r="F16" s="1" t="s">
        <v>29</v>
      </c>
      <c r="G16" s="30"/>
      <c r="H16" s="1" t="s">
        <v>29</v>
      </c>
      <c r="I16" s="1" t="s">
        <v>29</v>
      </c>
      <c r="J16" s="1" t="s">
        <v>549</v>
      </c>
    </row>
    <row r="17">
      <c r="B17" t="str">
        <f t="shared" ref="B17:F17" si="7">VLOOKUP(B16,$A$26:$B$40,2,FALSE)</f>
        <v>Vincy Kuriakose</v>
      </c>
      <c r="C17" t="str">
        <f t="shared" si="7"/>
        <v>-</v>
      </c>
      <c r="D17" t="str">
        <f t="shared" si="7"/>
        <v>Vincy Kuriakose</v>
      </c>
      <c r="E17" t="str">
        <f t="shared" si="7"/>
        <v>Tulika Chatterjee</v>
      </c>
      <c r="F17" t="str">
        <f t="shared" si="7"/>
        <v>-</v>
      </c>
      <c r="G17" s="30"/>
      <c r="H17" t="str">
        <f t="shared" ref="H17:J17" si="8">VLOOKUP(H16,$A$26:$B$40,2,FALSE)</f>
        <v>-</v>
      </c>
      <c r="I17" t="str">
        <f t="shared" si="8"/>
        <v>-</v>
      </c>
      <c r="J17" t="str">
        <f t="shared" si="8"/>
        <v>Sukhvinder Madhok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528</v>
      </c>
      <c r="C20" s="1" t="s">
        <v>29</v>
      </c>
      <c r="D20" s="1" t="s">
        <v>29</v>
      </c>
      <c r="E20" s="1" t="s">
        <v>29</v>
      </c>
      <c r="F20" s="33" t="s">
        <v>549</v>
      </c>
      <c r="G20" s="30"/>
      <c r="H20" s="1" t="s">
        <v>29</v>
      </c>
      <c r="I20" s="1" t="s">
        <v>29</v>
      </c>
      <c r="J20" s="1" t="s">
        <v>533</v>
      </c>
    </row>
    <row r="21" ht="15.75" customHeight="1">
      <c r="B21" t="str">
        <f t="shared" ref="B21:F21" si="9">VLOOKUP(B20,$A$26:$B$40,2,FALSE)</f>
        <v>Vincy Kuriakose</v>
      </c>
      <c r="C21" t="str">
        <f t="shared" si="9"/>
        <v>-</v>
      </c>
      <c r="D21" t="str">
        <f t="shared" si="9"/>
        <v>-</v>
      </c>
      <c r="E21" t="str">
        <f t="shared" si="9"/>
        <v>-</v>
      </c>
      <c r="F21" t="str">
        <f t="shared" si="9"/>
        <v>Sukhvinder Madhok</v>
      </c>
      <c r="G21" s="30"/>
      <c r="H21" t="str">
        <f t="shared" ref="H21:J21" si="10">VLOOKUP(H20,$A$26:$B$40,2,FALSE)</f>
        <v>-</v>
      </c>
      <c r="I21" t="str">
        <f t="shared" si="10"/>
        <v>-</v>
      </c>
      <c r="J21" t="str">
        <f t="shared" si="10"/>
        <v>Tulika Chatterjee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537</v>
      </c>
      <c r="B26" t="s">
        <v>151</v>
      </c>
      <c r="C26">
        <v>4.0</v>
      </c>
      <c r="D26">
        <f t="shared" ref="D26:D38" si="11">$C26-COUNTIF($A$4:$J$21,$A26)</f>
        <v>4</v>
      </c>
    </row>
    <row r="27" ht="15.75" customHeight="1">
      <c r="A27" t="s">
        <v>544</v>
      </c>
      <c r="B27" t="s">
        <v>220</v>
      </c>
      <c r="C27">
        <v>4.0</v>
      </c>
      <c r="D27">
        <f t="shared" si="11"/>
        <v>4</v>
      </c>
    </row>
    <row r="28" ht="15.75" customHeight="1">
      <c r="A28" t="s">
        <v>541</v>
      </c>
      <c r="B28" t="s">
        <v>562</v>
      </c>
      <c r="C28">
        <v>3.0</v>
      </c>
      <c r="D28">
        <f t="shared" si="11"/>
        <v>3</v>
      </c>
    </row>
    <row r="29" ht="15.75" customHeight="1">
      <c r="A29" t="s">
        <v>540</v>
      </c>
      <c r="B29" t="s">
        <v>176</v>
      </c>
      <c r="C29">
        <v>3.0</v>
      </c>
      <c r="D29">
        <f t="shared" si="11"/>
        <v>3</v>
      </c>
    </row>
    <row r="30" ht="15.75" customHeight="1">
      <c r="A30" t="s">
        <v>538</v>
      </c>
      <c r="B30" t="s">
        <v>61</v>
      </c>
      <c r="C30">
        <v>3.0</v>
      </c>
      <c r="D30">
        <f t="shared" si="11"/>
        <v>3</v>
      </c>
    </row>
    <row r="31" ht="15.75" customHeight="1">
      <c r="A31" t="s">
        <v>539</v>
      </c>
      <c r="B31" t="s">
        <v>25</v>
      </c>
      <c r="C31">
        <v>3.0</v>
      </c>
      <c r="D31">
        <f t="shared" si="11"/>
        <v>3</v>
      </c>
    </row>
    <row r="32" ht="15.75" customHeight="1">
      <c r="A32" t="s">
        <v>1</v>
      </c>
      <c r="B32" t="s">
        <v>1</v>
      </c>
      <c r="C32">
        <v>1.0</v>
      </c>
      <c r="D32">
        <f t="shared" si="11"/>
        <v>1</v>
      </c>
    </row>
    <row r="33" ht="15.75" customHeight="1">
      <c r="A33" t="s">
        <v>547</v>
      </c>
      <c r="B33" t="s">
        <v>116</v>
      </c>
      <c r="C33">
        <v>4.0</v>
      </c>
      <c r="D33">
        <f t="shared" si="11"/>
        <v>4</v>
      </c>
    </row>
    <row r="34" ht="15.75" customHeight="1">
      <c r="A34" t="s">
        <v>528</v>
      </c>
      <c r="B34" t="s">
        <v>367</v>
      </c>
      <c r="C34">
        <v>5.0</v>
      </c>
      <c r="D34">
        <f t="shared" si="11"/>
        <v>0</v>
      </c>
    </row>
    <row r="35" ht="15.75" customHeight="1">
      <c r="A35" t="s">
        <v>546</v>
      </c>
      <c r="B35" t="s">
        <v>367</v>
      </c>
      <c r="C35">
        <v>2.0</v>
      </c>
      <c r="D35">
        <f t="shared" si="11"/>
        <v>0</v>
      </c>
    </row>
    <row r="36" ht="15.75" customHeight="1">
      <c r="A36" t="s">
        <v>545</v>
      </c>
      <c r="B36" t="s">
        <v>234</v>
      </c>
      <c r="C36">
        <v>1.0</v>
      </c>
      <c r="D36">
        <f t="shared" si="11"/>
        <v>0</v>
      </c>
    </row>
    <row r="37" ht="15.75" customHeight="1">
      <c r="A37" t="s">
        <v>549</v>
      </c>
      <c r="B37" t="s">
        <v>336</v>
      </c>
      <c r="C37">
        <v>4.0</v>
      </c>
      <c r="D37">
        <f t="shared" si="11"/>
        <v>0</v>
      </c>
    </row>
    <row r="38" ht="15.75" customHeight="1">
      <c r="A38" t="s">
        <v>533</v>
      </c>
      <c r="B38" t="s">
        <v>360</v>
      </c>
      <c r="C38">
        <v>3.0</v>
      </c>
      <c r="D38">
        <f t="shared" si="11"/>
        <v>0</v>
      </c>
    </row>
    <row r="39" ht="15.75" customHeight="1">
      <c r="A39" t="s">
        <v>29</v>
      </c>
      <c r="B39" t="s">
        <v>253</v>
      </c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8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86"/>
    <col customWidth="1" min="2" max="2" width="16.0"/>
    <col customWidth="1" min="3" max="3" width="10.57"/>
    <col customWidth="1" min="4" max="4" width="10.14"/>
    <col customWidth="1" min="5" max="5" width="15.14"/>
    <col customWidth="1" min="6" max="7" width="8.71"/>
    <col customWidth="1" min="8" max="8" width="12.29"/>
    <col customWidth="1" min="9" max="10" width="10.14"/>
    <col customWidth="1" min="11" max="26" width="8.71"/>
  </cols>
  <sheetData>
    <row r="1">
      <c r="A1" s="2" t="s">
        <v>214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539</v>
      </c>
      <c r="C4" s="1" t="s">
        <v>29</v>
      </c>
      <c r="D4" s="1" t="s">
        <v>549</v>
      </c>
      <c r="E4" s="1" t="s">
        <v>29</v>
      </c>
      <c r="F4" s="1" t="s">
        <v>29</v>
      </c>
      <c r="G4" s="30"/>
      <c r="H4" s="1" t="s">
        <v>533</v>
      </c>
      <c r="I4" s="1" t="s">
        <v>29</v>
      </c>
      <c r="J4" s="1" t="s">
        <v>545</v>
      </c>
    </row>
    <row r="5">
      <c r="B5" t="str">
        <f t="shared" ref="B5:F5" si="1">VLOOKUP(B4,$A$26:$B$41,2,FALSE)</f>
        <v>Malobee Paul</v>
      </c>
      <c r="C5" t="str">
        <f t="shared" si="1"/>
        <v>-</v>
      </c>
      <c r="D5" s="11" t="str">
        <f t="shared" si="1"/>
        <v>Rekha Shaw/Samhita Chatterjee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VLOOKUP(H4,$A$26:$B$41,2,FALSE)</f>
        <v>Monidipa Mukherjee/Sharmilee Acharyya</v>
      </c>
      <c r="I5" t="str">
        <f t="shared" si="2"/>
        <v>-</v>
      </c>
      <c r="J5" t="str">
        <f t="shared" si="2"/>
        <v>Ransdel Manuel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546</v>
      </c>
      <c r="C8" s="1" t="s">
        <v>533</v>
      </c>
      <c r="D8" s="1" t="s">
        <v>29</v>
      </c>
      <c r="E8" s="1" t="s">
        <v>549</v>
      </c>
      <c r="F8" s="1" t="s">
        <v>29</v>
      </c>
      <c r="G8" s="30"/>
      <c r="H8" s="1" t="s">
        <v>29</v>
      </c>
      <c r="I8" s="1" t="s">
        <v>29</v>
      </c>
      <c r="J8" s="1" t="s">
        <v>29</v>
      </c>
    </row>
    <row r="9">
      <c r="B9" t="str">
        <f t="shared" ref="B9:F9" si="3">VLOOKUP(B8,$A$26:$B$41,2,FALSE)</f>
        <v>Malobee Paul</v>
      </c>
      <c r="C9" t="str">
        <f t="shared" si="3"/>
        <v>Monidipa Mukherjee/Sharmilee Acharyya</v>
      </c>
      <c r="D9" t="str">
        <f t="shared" si="3"/>
        <v>-</v>
      </c>
      <c r="E9" t="str">
        <f t="shared" si="3"/>
        <v>Rekha Shaw/Samhita Chatterjee</v>
      </c>
      <c r="F9" t="str">
        <f t="shared" si="3"/>
        <v>-</v>
      </c>
      <c r="G9" s="30"/>
      <c r="H9" t="str">
        <f t="shared" ref="H9:J9" si="4">VLOOKUP(H8,$A$26:$B$41,2,FALSE)</f>
        <v>-</v>
      </c>
      <c r="I9" t="str">
        <f t="shared" si="4"/>
        <v>-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539</v>
      </c>
      <c r="C12" s="1" t="s">
        <v>29</v>
      </c>
      <c r="D12" s="1" t="s">
        <v>29</v>
      </c>
      <c r="E12" s="1" t="s">
        <v>29</v>
      </c>
      <c r="F12" s="1" t="s">
        <v>549</v>
      </c>
      <c r="G12" s="30"/>
      <c r="H12" s="1" t="s">
        <v>29</v>
      </c>
      <c r="I12" s="1" t="s">
        <v>29</v>
      </c>
      <c r="J12" s="1" t="s">
        <v>29</v>
      </c>
    </row>
    <row r="13">
      <c r="B13" t="str">
        <f t="shared" ref="B13:F13" si="5">VLOOKUP(B12,$A$26:$B$41,2,FALSE)</f>
        <v>Malobee Paul</v>
      </c>
      <c r="C13" t="str">
        <f t="shared" si="5"/>
        <v>-</v>
      </c>
      <c r="D13" t="str">
        <f t="shared" si="5"/>
        <v>-</v>
      </c>
      <c r="E13" t="str">
        <f t="shared" si="5"/>
        <v>-</v>
      </c>
      <c r="F13" t="str">
        <f t="shared" si="5"/>
        <v>Rekha Shaw/Samhita Chatterjee</v>
      </c>
      <c r="G13" s="30"/>
      <c r="H13" t="str">
        <f t="shared" ref="H13:J13" si="6">VLOOKUP(H12,$A$26:$B$41,2,FALSE)</f>
        <v>-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546</v>
      </c>
      <c r="C16" s="1" t="s">
        <v>533</v>
      </c>
      <c r="D16" s="1" t="s">
        <v>29</v>
      </c>
      <c r="E16" s="1" t="s">
        <v>29</v>
      </c>
      <c r="F16" s="1" t="s">
        <v>29</v>
      </c>
      <c r="G16" s="30"/>
      <c r="H16" s="1" t="s">
        <v>29</v>
      </c>
      <c r="I16" s="1" t="s">
        <v>29</v>
      </c>
      <c r="J16" s="1" t="s">
        <v>29</v>
      </c>
    </row>
    <row r="17">
      <c r="B17" t="str">
        <f t="shared" ref="B17:F17" si="7">VLOOKUP(B16,$A$26:$B$41,2,FALSE)</f>
        <v>Malobee Paul</v>
      </c>
      <c r="C17" t="str">
        <f t="shared" si="7"/>
        <v>Monidipa Mukherjee/Sharmilee Acharyya</v>
      </c>
      <c r="D17" t="str">
        <f t="shared" si="7"/>
        <v>-</v>
      </c>
      <c r="E17" t="str">
        <f t="shared" si="7"/>
        <v>-</v>
      </c>
      <c r="F17" t="str">
        <f t="shared" si="7"/>
        <v>-</v>
      </c>
      <c r="G17" s="30"/>
      <c r="H17" t="str">
        <f t="shared" ref="H17:J17" si="8">VLOOKUP(H16,$A$26:$B$41,2,FALSE)</f>
        <v>-</v>
      </c>
      <c r="I17" t="str">
        <f t="shared" si="8"/>
        <v>-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539</v>
      </c>
      <c r="C20" s="1" t="s">
        <v>29</v>
      </c>
      <c r="D20" s="1" t="s">
        <v>549</v>
      </c>
      <c r="E20" s="1" t="s">
        <v>29</v>
      </c>
      <c r="F20" s="1" t="s">
        <v>29</v>
      </c>
      <c r="G20" s="30"/>
      <c r="H20" s="1" t="s">
        <v>29</v>
      </c>
      <c r="I20" s="1" t="s">
        <v>29</v>
      </c>
      <c r="J20" s="1" t="s">
        <v>29</v>
      </c>
    </row>
    <row r="21" ht="15.75" customHeight="1">
      <c r="B21" t="str">
        <f t="shared" ref="B21:F21" si="9">VLOOKUP(B20,$A$26:$B$41,2,FALSE)</f>
        <v>Malobee Paul</v>
      </c>
      <c r="C21" t="str">
        <f t="shared" si="9"/>
        <v>-</v>
      </c>
      <c r="D21" t="str">
        <f t="shared" si="9"/>
        <v>Rekha Shaw/Samhita Chatterjee</v>
      </c>
      <c r="E21" t="str">
        <f t="shared" si="9"/>
        <v>-</v>
      </c>
      <c r="F21" t="str">
        <f t="shared" si="9"/>
        <v>-</v>
      </c>
      <c r="G21" s="30"/>
      <c r="H21" t="str">
        <f t="shared" ref="H21:J21" si="10">VLOOKUP(H20,$A$26:$B$41,2,FALSE)</f>
        <v>-</v>
      </c>
      <c r="I21" t="str">
        <f t="shared" si="10"/>
        <v>-</v>
      </c>
      <c r="J21" t="str">
        <f t="shared" si="10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344</v>
      </c>
      <c r="C26">
        <v>5.0</v>
      </c>
      <c r="D26">
        <f t="shared" ref="D26:D38" si="11">$C26-COUNTIF($A$4:$J$21,$A26)</f>
        <v>5</v>
      </c>
    </row>
    <row r="27" ht="15.75" customHeight="1">
      <c r="A27" t="s">
        <v>537</v>
      </c>
      <c r="B27" t="s">
        <v>61</v>
      </c>
      <c r="C27">
        <v>4.0</v>
      </c>
      <c r="D27">
        <f t="shared" si="11"/>
        <v>4</v>
      </c>
    </row>
    <row r="28" ht="15.75" customHeight="1">
      <c r="A28" t="s">
        <v>547</v>
      </c>
      <c r="B28" t="s">
        <v>116</v>
      </c>
      <c r="C28">
        <v>4.0</v>
      </c>
      <c r="D28">
        <f t="shared" si="11"/>
        <v>4</v>
      </c>
    </row>
    <row r="29" ht="15.75" customHeight="1">
      <c r="A29" t="s">
        <v>544</v>
      </c>
      <c r="B29" t="s">
        <v>220</v>
      </c>
      <c r="C29">
        <v>4.0</v>
      </c>
      <c r="D29">
        <f t="shared" si="11"/>
        <v>4</v>
      </c>
    </row>
    <row r="30" ht="15.75" customHeight="1">
      <c r="A30" t="s">
        <v>541</v>
      </c>
      <c r="B30" t="s">
        <v>59</v>
      </c>
      <c r="C30">
        <v>3.0</v>
      </c>
      <c r="D30">
        <f t="shared" si="11"/>
        <v>3</v>
      </c>
    </row>
    <row r="31" ht="15.75" customHeight="1">
      <c r="A31" t="s">
        <v>540</v>
      </c>
      <c r="B31" t="s">
        <v>176</v>
      </c>
      <c r="C31">
        <v>3.0</v>
      </c>
      <c r="D31">
        <f t="shared" si="11"/>
        <v>3</v>
      </c>
    </row>
    <row r="32" ht="15.75" customHeight="1">
      <c r="A32" t="s">
        <v>538</v>
      </c>
      <c r="B32" t="s">
        <v>17</v>
      </c>
      <c r="C32">
        <v>3.0</v>
      </c>
      <c r="D32">
        <f t="shared" si="11"/>
        <v>3</v>
      </c>
    </row>
    <row r="33" ht="15.75" customHeight="1">
      <c r="A33" t="s">
        <v>1</v>
      </c>
      <c r="B33" t="s">
        <v>1</v>
      </c>
      <c r="C33">
        <v>1.0</v>
      </c>
      <c r="D33">
        <f t="shared" si="11"/>
        <v>1</v>
      </c>
    </row>
    <row r="34" ht="15.75" customHeight="1">
      <c r="A34" t="s">
        <v>546</v>
      </c>
      <c r="B34" t="s">
        <v>137</v>
      </c>
      <c r="C34">
        <v>2.0</v>
      </c>
      <c r="D34">
        <f t="shared" si="11"/>
        <v>0</v>
      </c>
    </row>
    <row r="35" ht="15.75" customHeight="1">
      <c r="A35" t="s">
        <v>545</v>
      </c>
      <c r="B35" t="s">
        <v>234</v>
      </c>
      <c r="C35">
        <v>1.0</v>
      </c>
      <c r="D35">
        <f t="shared" si="11"/>
        <v>0</v>
      </c>
    </row>
    <row r="36" ht="15.75" customHeight="1">
      <c r="A36" t="s">
        <v>539</v>
      </c>
      <c r="B36" t="s">
        <v>137</v>
      </c>
      <c r="C36">
        <v>3.0</v>
      </c>
      <c r="D36">
        <f t="shared" si="11"/>
        <v>0</v>
      </c>
    </row>
    <row r="37" ht="15.75" customHeight="1">
      <c r="A37" t="s">
        <v>549</v>
      </c>
      <c r="B37" t="s">
        <v>576</v>
      </c>
      <c r="C37">
        <v>4.0</v>
      </c>
      <c r="D37">
        <f t="shared" si="11"/>
        <v>0</v>
      </c>
    </row>
    <row r="38" ht="15.75" customHeight="1">
      <c r="A38" t="s">
        <v>533</v>
      </c>
      <c r="B38" t="s">
        <v>579</v>
      </c>
      <c r="C38">
        <v>3.0</v>
      </c>
      <c r="D38">
        <f t="shared" si="11"/>
        <v>0</v>
      </c>
    </row>
    <row r="39" ht="15.75" customHeight="1">
      <c r="A39" t="s">
        <v>29</v>
      </c>
      <c r="B39" t="s">
        <v>253</v>
      </c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39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86"/>
    <col customWidth="1" min="2" max="2" width="19.0"/>
    <col customWidth="1" min="3" max="3" width="10.57"/>
    <col customWidth="1" min="4" max="6" width="10.14"/>
    <col customWidth="1" min="7" max="7" width="8.71"/>
    <col customWidth="1" min="8" max="10" width="10.14"/>
    <col customWidth="1" min="11" max="26" width="8.71"/>
  </cols>
  <sheetData>
    <row r="1">
      <c r="A1" s="2" t="s">
        <v>217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538</v>
      </c>
      <c r="C4" s="1" t="s">
        <v>29</v>
      </c>
      <c r="D4" s="1" t="s">
        <v>549</v>
      </c>
      <c r="E4" s="1" t="s">
        <v>29</v>
      </c>
      <c r="F4" s="1" t="s">
        <v>29</v>
      </c>
      <c r="G4" s="30"/>
      <c r="H4" s="1" t="s">
        <v>533</v>
      </c>
      <c r="I4" s="1" t="s">
        <v>29</v>
      </c>
      <c r="J4" s="1" t="s">
        <v>545</v>
      </c>
    </row>
    <row r="5">
      <c r="B5" t="str">
        <f t="shared" ref="B5:F5" si="1">VLOOKUP(B4,$A$26:$B$41,2,FALSE)</f>
        <v>Shaswati Chatterjee</v>
      </c>
      <c r="C5" t="str">
        <f t="shared" si="1"/>
        <v>-</v>
      </c>
      <c r="D5" s="11" t="str">
        <f t="shared" si="1"/>
        <v>Rekha Shaw/Samhita Chatterjee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VLOOKUP(H4,$A$26:$B$41,2,FALSE)</f>
        <v>Monidipa Mukherjee/Sharmilee Acharyya</v>
      </c>
      <c r="I5" t="str">
        <f t="shared" si="2"/>
        <v>-</v>
      </c>
      <c r="J5" t="str">
        <f t="shared" si="2"/>
        <v>Ransdel Manuel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546</v>
      </c>
      <c r="C8" s="1" t="s">
        <v>533</v>
      </c>
      <c r="D8" s="1" t="s">
        <v>29</v>
      </c>
      <c r="E8" s="1" t="s">
        <v>549</v>
      </c>
      <c r="F8" s="1" t="s">
        <v>29</v>
      </c>
      <c r="G8" s="30"/>
      <c r="H8" s="1" t="s">
        <v>29</v>
      </c>
      <c r="I8" s="1" t="s">
        <v>29</v>
      </c>
      <c r="J8" s="1" t="s">
        <v>29</v>
      </c>
    </row>
    <row r="9">
      <c r="B9" t="str">
        <f t="shared" ref="B9:F9" si="3">VLOOKUP(B8,$A$26:$B$41,2,FALSE)</f>
        <v>Shaswati Chatterjee</v>
      </c>
      <c r="C9" t="str">
        <f t="shared" si="3"/>
        <v>Monidipa Mukherjee/Sharmilee Acharyya</v>
      </c>
      <c r="D9" t="str">
        <f t="shared" si="3"/>
        <v>-</v>
      </c>
      <c r="E9" t="str">
        <f t="shared" si="3"/>
        <v>Rekha Shaw/Samhita Chatterjee</v>
      </c>
      <c r="F9" t="str">
        <f t="shared" si="3"/>
        <v>-</v>
      </c>
      <c r="G9" s="30"/>
      <c r="H9" t="str">
        <f t="shared" ref="H9:J9" si="4">VLOOKUP(H8,$A$26:$B$41,2,FALSE)</f>
        <v>-</v>
      </c>
      <c r="I9" t="str">
        <f t="shared" si="4"/>
        <v>-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538</v>
      </c>
      <c r="C12" s="1" t="s">
        <v>29</v>
      </c>
      <c r="D12" s="1" t="s">
        <v>29</v>
      </c>
      <c r="E12" s="1" t="s">
        <v>29</v>
      </c>
      <c r="F12" s="1" t="s">
        <v>549</v>
      </c>
      <c r="G12" s="30"/>
      <c r="H12" s="1" t="s">
        <v>29</v>
      </c>
      <c r="I12" s="1" t="s">
        <v>29</v>
      </c>
      <c r="J12" s="1" t="s">
        <v>29</v>
      </c>
    </row>
    <row r="13">
      <c r="B13" t="str">
        <f t="shared" ref="B13:F13" si="5">VLOOKUP(B12,$A$26:$B$41,2,FALSE)</f>
        <v>Shaswati Chatterjee</v>
      </c>
      <c r="C13" t="str">
        <f t="shared" si="5"/>
        <v>-</v>
      </c>
      <c r="D13" t="str">
        <f t="shared" si="5"/>
        <v>-</v>
      </c>
      <c r="E13" t="str">
        <f t="shared" si="5"/>
        <v>-</v>
      </c>
      <c r="F13" t="str">
        <f t="shared" si="5"/>
        <v>Rekha Shaw/Samhita Chatterjee</v>
      </c>
      <c r="G13" s="30"/>
      <c r="H13" t="str">
        <f t="shared" ref="H13:J13" si="6">VLOOKUP(H12,$A$26:$B$41,2,FALSE)</f>
        <v>-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546</v>
      </c>
      <c r="C16" s="1" t="s">
        <v>533</v>
      </c>
      <c r="D16" s="1" t="s">
        <v>29</v>
      </c>
      <c r="E16" s="1" t="s">
        <v>29</v>
      </c>
      <c r="F16" s="1" t="s">
        <v>29</v>
      </c>
      <c r="G16" s="30"/>
      <c r="H16" s="1" t="s">
        <v>29</v>
      </c>
      <c r="I16" s="1" t="s">
        <v>29</v>
      </c>
      <c r="J16" s="1" t="s">
        <v>29</v>
      </c>
    </row>
    <row r="17">
      <c r="B17" t="str">
        <f t="shared" ref="B17:F17" si="7">VLOOKUP(B16,$A$26:$B$41,2,FALSE)</f>
        <v>Shaswati Chatterjee</v>
      </c>
      <c r="C17" t="str">
        <f t="shared" si="7"/>
        <v>Monidipa Mukherjee/Sharmilee Acharyya</v>
      </c>
      <c r="D17" t="str">
        <f t="shared" si="7"/>
        <v>-</v>
      </c>
      <c r="E17" t="str">
        <f t="shared" si="7"/>
        <v>-</v>
      </c>
      <c r="F17" t="str">
        <f t="shared" si="7"/>
        <v>-</v>
      </c>
      <c r="G17" s="30"/>
      <c r="H17" t="str">
        <f t="shared" ref="H17:J17" si="8">VLOOKUP(H16,$A$26:$B$41,2,FALSE)</f>
        <v>-</v>
      </c>
      <c r="I17" t="str">
        <f t="shared" si="8"/>
        <v>-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538</v>
      </c>
      <c r="C20" s="1" t="s">
        <v>29</v>
      </c>
      <c r="D20" s="1" t="s">
        <v>549</v>
      </c>
      <c r="E20" s="1" t="s">
        <v>29</v>
      </c>
      <c r="F20" s="1" t="s">
        <v>29</v>
      </c>
      <c r="G20" s="30"/>
      <c r="H20" s="1" t="s">
        <v>29</v>
      </c>
      <c r="I20" s="1" t="s">
        <v>29</v>
      </c>
      <c r="J20" s="1" t="s">
        <v>29</v>
      </c>
    </row>
    <row r="21" ht="15.75" customHeight="1">
      <c r="B21" t="str">
        <f t="shared" ref="B21:F21" si="9">VLOOKUP(B20,$A$26:$B$41,2,FALSE)</f>
        <v>Shaswati Chatterjee</v>
      </c>
      <c r="C21" t="str">
        <f t="shared" si="9"/>
        <v>-</v>
      </c>
      <c r="D21" t="str">
        <f t="shared" si="9"/>
        <v>Rekha Shaw/Samhita Chatterjee</v>
      </c>
      <c r="E21" t="str">
        <f t="shared" si="9"/>
        <v>-</v>
      </c>
      <c r="F21" t="str">
        <f t="shared" si="9"/>
        <v>-</v>
      </c>
      <c r="G21" s="30"/>
      <c r="H21" t="str">
        <f t="shared" ref="H21:J21" si="10">VLOOKUP(H20,$A$26:$B$41,2,FALSE)</f>
        <v>-</v>
      </c>
      <c r="I21" t="str">
        <f t="shared" si="10"/>
        <v>-</v>
      </c>
      <c r="J21" t="str">
        <f t="shared" si="10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367</v>
      </c>
      <c r="C26">
        <v>5.0</v>
      </c>
      <c r="D26">
        <f t="shared" ref="D26:D38" si="11">$C26-COUNTIF($A$4:$J$21,$A26)</f>
        <v>5</v>
      </c>
    </row>
    <row r="27" ht="15.75" customHeight="1">
      <c r="A27" t="s">
        <v>544</v>
      </c>
      <c r="B27" t="s">
        <v>248</v>
      </c>
      <c r="C27">
        <v>4.0</v>
      </c>
      <c r="D27">
        <f t="shared" si="11"/>
        <v>4</v>
      </c>
    </row>
    <row r="28" ht="15.75" customHeight="1">
      <c r="A28" t="s">
        <v>537</v>
      </c>
      <c r="B28" t="s">
        <v>151</v>
      </c>
      <c r="C28">
        <v>4.0</v>
      </c>
      <c r="D28">
        <f t="shared" si="11"/>
        <v>4</v>
      </c>
    </row>
    <row r="29" ht="15.75" customHeight="1">
      <c r="A29" t="s">
        <v>547</v>
      </c>
      <c r="B29" t="s">
        <v>363</v>
      </c>
      <c r="C29">
        <v>4.0</v>
      </c>
      <c r="D29">
        <f t="shared" si="11"/>
        <v>4</v>
      </c>
    </row>
    <row r="30" ht="15.75" customHeight="1">
      <c r="A30" t="s">
        <v>539</v>
      </c>
      <c r="B30" t="s">
        <v>25</v>
      </c>
      <c r="C30">
        <v>3.0</v>
      </c>
      <c r="D30">
        <f t="shared" si="11"/>
        <v>3</v>
      </c>
    </row>
    <row r="31" ht="15.75" customHeight="1">
      <c r="A31" t="s">
        <v>541</v>
      </c>
      <c r="B31" t="s">
        <v>98</v>
      </c>
      <c r="C31">
        <v>3.0</v>
      </c>
      <c r="D31">
        <f t="shared" si="11"/>
        <v>3</v>
      </c>
    </row>
    <row r="32" ht="15.75" customHeight="1">
      <c r="A32" t="s">
        <v>540</v>
      </c>
      <c r="B32" t="s">
        <v>168</v>
      </c>
      <c r="C32">
        <v>3.0</v>
      </c>
      <c r="D32">
        <f t="shared" si="11"/>
        <v>3</v>
      </c>
    </row>
    <row r="33" ht="15.75" customHeight="1">
      <c r="A33" t="s">
        <v>1</v>
      </c>
      <c r="B33" t="s">
        <v>1</v>
      </c>
      <c r="C33">
        <v>1.0</v>
      </c>
      <c r="D33">
        <f t="shared" si="11"/>
        <v>1</v>
      </c>
    </row>
    <row r="34" ht="15.75" customHeight="1">
      <c r="A34" t="s">
        <v>538</v>
      </c>
      <c r="B34" t="s">
        <v>201</v>
      </c>
      <c r="C34">
        <v>3.0</v>
      </c>
      <c r="D34">
        <f t="shared" si="11"/>
        <v>0</v>
      </c>
    </row>
    <row r="35" ht="15.75" customHeight="1">
      <c r="A35" t="s">
        <v>546</v>
      </c>
      <c r="B35" t="s">
        <v>201</v>
      </c>
      <c r="C35">
        <v>2.0</v>
      </c>
      <c r="D35">
        <f t="shared" si="11"/>
        <v>0</v>
      </c>
    </row>
    <row r="36" ht="15.75" customHeight="1">
      <c r="A36" t="s">
        <v>545</v>
      </c>
      <c r="B36" t="s">
        <v>234</v>
      </c>
      <c r="C36">
        <v>1.0</v>
      </c>
      <c r="D36">
        <f t="shared" si="11"/>
        <v>0</v>
      </c>
    </row>
    <row r="37" ht="15.75" customHeight="1">
      <c r="A37" t="s">
        <v>549</v>
      </c>
      <c r="B37" t="s">
        <v>576</v>
      </c>
      <c r="C37">
        <v>4.0</v>
      </c>
      <c r="D37">
        <f t="shared" si="11"/>
        <v>0</v>
      </c>
    </row>
    <row r="38" ht="15.75" customHeight="1">
      <c r="A38" t="s">
        <v>533</v>
      </c>
      <c r="B38" t="s">
        <v>579</v>
      </c>
      <c r="C38">
        <v>3.0</v>
      </c>
      <c r="D38">
        <f t="shared" si="11"/>
        <v>0</v>
      </c>
    </row>
    <row r="39" ht="15.75" customHeight="1">
      <c r="A39" t="s">
        <v>29</v>
      </c>
      <c r="B39" t="s">
        <v>253</v>
      </c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39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B27">
      <formula1>INDIRECT(#REF!)</formula1>
    </dataValidation>
    <dataValidation type="list" allowBlank="1" showErrorMessage="1" sqref="H6">
      <formula1>INDIRECT($H$4)</formula1>
    </dataValidation>
    <dataValidation type="list" allowBlank="1" showErrorMessage="1" sqref="B34">
      <formula1>INDIRECT($A$34)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86"/>
    <col customWidth="1" min="2" max="2" width="18.14"/>
    <col customWidth="1" min="3" max="3" width="21.29"/>
    <col customWidth="1" min="4" max="5" width="10.14"/>
    <col customWidth="1" min="6" max="7" width="8.71"/>
    <col customWidth="1" min="8" max="10" width="10.14"/>
    <col customWidth="1" min="11" max="26" width="8.71"/>
  </cols>
  <sheetData>
    <row r="1">
      <c r="A1" s="2" t="s">
        <v>221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539</v>
      </c>
      <c r="C4" s="1" t="s">
        <v>29</v>
      </c>
      <c r="D4" s="1" t="s">
        <v>549</v>
      </c>
      <c r="E4" s="1" t="s">
        <v>29</v>
      </c>
      <c r="F4" s="1" t="s">
        <v>29</v>
      </c>
      <c r="G4" s="30"/>
      <c r="H4" s="1" t="s">
        <v>533</v>
      </c>
      <c r="I4" s="1" t="s">
        <v>29</v>
      </c>
      <c r="J4" s="1" t="s">
        <v>29</v>
      </c>
    </row>
    <row r="5">
      <c r="B5" t="str">
        <f t="shared" ref="B5:F5" si="1">VLOOKUP(B4,$A$27:$B$41,2,FALSE)</f>
        <v>Abirlal Chatterjee</v>
      </c>
      <c r="C5" t="str">
        <f t="shared" si="1"/>
        <v>-</v>
      </c>
      <c r="D5" s="11" t="str">
        <f t="shared" si="1"/>
        <v>Shely Das/Lina Mondal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VLOOKUP(H4,$A$27:$B$41,2,FALSE)</f>
        <v>Sanchayan K Ray/Thomas Antony</v>
      </c>
      <c r="I5" t="str">
        <f t="shared" si="2"/>
        <v>-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546</v>
      </c>
      <c r="C8" s="1" t="s">
        <v>533</v>
      </c>
      <c r="D8" s="1" t="s">
        <v>29</v>
      </c>
      <c r="E8" s="1" t="s">
        <v>549</v>
      </c>
      <c r="F8" s="1" t="s">
        <v>29</v>
      </c>
      <c r="G8" s="30"/>
      <c r="H8" s="1" t="s">
        <v>29</v>
      </c>
      <c r="I8" s="1" t="s">
        <v>29</v>
      </c>
      <c r="J8" s="1" t="s">
        <v>29</v>
      </c>
    </row>
    <row r="9">
      <c r="B9" t="str">
        <f t="shared" ref="B9:F9" si="3">VLOOKUP(B8,$A$27:$B$41,2,FALSE)</f>
        <v>Abirlal Chatterjee</v>
      </c>
      <c r="C9" t="str">
        <f t="shared" si="3"/>
        <v>Sanchayan K Ray/Thomas Antony</v>
      </c>
      <c r="D9" t="str">
        <f t="shared" si="3"/>
        <v>-</v>
      </c>
      <c r="E9" t="str">
        <f t="shared" si="3"/>
        <v>Shely Das/Lina Mondal</v>
      </c>
      <c r="F9" t="str">
        <f t="shared" si="3"/>
        <v>-</v>
      </c>
      <c r="G9" s="30"/>
      <c r="H9" t="str">
        <f t="shared" ref="H9:J9" si="4">VLOOKUP(H8,$A$27:$B$41,2,FALSE)</f>
        <v>-</v>
      </c>
      <c r="I9" t="str">
        <f t="shared" si="4"/>
        <v>-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539</v>
      </c>
      <c r="C12" s="1" t="s">
        <v>29</v>
      </c>
      <c r="D12" s="1" t="s">
        <v>29</v>
      </c>
      <c r="E12" s="1" t="s">
        <v>29</v>
      </c>
      <c r="F12" s="1" t="s">
        <v>549</v>
      </c>
      <c r="G12" s="30"/>
      <c r="H12" s="1" t="s">
        <v>29</v>
      </c>
      <c r="I12" s="1" t="s">
        <v>29</v>
      </c>
      <c r="J12" s="1" t="s">
        <v>29</v>
      </c>
    </row>
    <row r="13">
      <c r="B13" t="str">
        <f t="shared" ref="B13:F13" si="5">VLOOKUP(B12,$A$27:$B$41,2,FALSE)</f>
        <v>Abirlal Chatterjee</v>
      </c>
      <c r="C13" t="str">
        <f t="shared" si="5"/>
        <v>-</v>
      </c>
      <c r="D13" t="str">
        <f t="shared" si="5"/>
        <v>-</v>
      </c>
      <c r="E13" t="str">
        <f t="shared" si="5"/>
        <v>-</v>
      </c>
      <c r="F13" t="str">
        <f t="shared" si="5"/>
        <v>Shely Das/Lina Mondal</v>
      </c>
      <c r="G13" s="30"/>
      <c r="H13" t="str">
        <f t="shared" ref="H13:J13" si="6">VLOOKUP(H12,$A$27:$B$41,2,FALSE)</f>
        <v>-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546</v>
      </c>
      <c r="C16" s="1" t="s">
        <v>533</v>
      </c>
      <c r="D16" s="1" t="s">
        <v>29</v>
      </c>
      <c r="E16" s="1" t="s">
        <v>29</v>
      </c>
      <c r="F16" s="1" t="s">
        <v>29</v>
      </c>
      <c r="G16" s="30"/>
      <c r="H16" s="1" t="s">
        <v>29</v>
      </c>
      <c r="I16" s="1" t="s">
        <v>29</v>
      </c>
      <c r="J16" s="1" t="s">
        <v>29</v>
      </c>
    </row>
    <row r="17">
      <c r="B17" t="str">
        <f t="shared" ref="B17:F17" si="7">VLOOKUP(B16,$A$27:$B$41,2,FALSE)</f>
        <v>Abirlal Chatterjee</v>
      </c>
      <c r="C17" t="str">
        <f t="shared" si="7"/>
        <v>Sanchayan K Ray/Thomas Antony</v>
      </c>
      <c r="D17" t="str">
        <f t="shared" si="7"/>
        <v>-</v>
      </c>
      <c r="E17" t="str">
        <f t="shared" si="7"/>
        <v>-</v>
      </c>
      <c r="F17" t="str">
        <f t="shared" si="7"/>
        <v>-</v>
      </c>
      <c r="G17" s="30"/>
      <c r="H17" t="str">
        <f t="shared" ref="H17:J17" si="8">VLOOKUP(H16,$A$27:$B$41,2,FALSE)</f>
        <v>-</v>
      </c>
      <c r="I17" t="str">
        <f t="shared" si="8"/>
        <v>-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539</v>
      </c>
      <c r="C20" s="1" t="s">
        <v>29</v>
      </c>
      <c r="D20" s="1" t="s">
        <v>549</v>
      </c>
      <c r="E20" s="1" t="s">
        <v>29</v>
      </c>
      <c r="F20" s="1" t="s">
        <v>29</v>
      </c>
      <c r="G20" s="30"/>
      <c r="H20" s="1" t="s">
        <v>29</v>
      </c>
      <c r="I20" s="1" t="s">
        <v>29</v>
      </c>
      <c r="J20" s="1" t="s">
        <v>545</v>
      </c>
    </row>
    <row r="21" ht="15.75" customHeight="1">
      <c r="B21" t="str">
        <f t="shared" ref="B21:F21" si="9">VLOOKUP(B20,$A$27:$B$41,2,FALSE)</f>
        <v>Abirlal Chatterjee</v>
      </c>
      <c r="C21" t="str">
        <f t="shared" si="9"/>
        <v>-</v>
      </c>
      <c r="D21" t="str">
        <f t="shared" si="9"/>
        <v>Shely Das/Lina Mondal</v>
      </c>
      <c r="E21" t="str">
        <f t="shared" si="9"/>
        <v>-</v>
      </c>
      <c r="F21" t="str">
        <f t="shared" si="9"/>
        <v>-</v>
      </c>
      <c r="G21" s="30"/>
      <c r="H21" t="str">
        <f t="shared" ref="H21:J21" si="10">VLOOKUP(H20,$A$27:$B$41,2,FALSE)</f>
        <v>-</v>
      </c>
      <c r="I21" t="str">
        <f t="shared" si="10"/>
        <v>-</v>
      </c>
      <c r="J21" t="str">
        <f t="shared" si="10"/>
        <v>Ransdel Manuel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210</v>
      </c>
      <c r="C26">
        <v>5.0</v>
      </c>
      <c r="D26">
        <f t="shared" ref="D26:D38" si="11">$C26-COUNTIF($A$4:$J$21,$A26)</f>
        <v>5</v>
      </c>
    </row>
    <row r="27" ht="15.75" customHeight="1">
      <c r="A27" t="s">
        <v>537</v>
      </c>
      <c r="B27" t="s">
        <v>164</v>
      </c>
      <c r="C27">
        <v>4.0</v>
      </c>
      <c r="D27">
        <f t="shared" si="11"/>
        <v>4</v>
      </c>
    </row>
    <row r="28" ht="15.75" customHeight="1">
      <c r="A28" t="s">
        <v>544</v>
      </c>
      <c r="B28" t="s">
        <v>339</v>
      </c>
      <c r="C28">
        <v>4.0</v>
      </c>
      <c r="D28">
        <f t="shared" si="11"/>
        <v>4</v>
      </c>
    </row>
    <row r="29" ht="15.75" customHeight="1">
      <c r="A29" t="s">
        <v>547</v>
      </c>
      <c r="B29" t="s">
        <v>26</v>
      </c>
      <c r="C29">
        <v>4.0</v>
      </c>
      <c r="D29">
        <f t="shared" si="11"/>
        <v>4</v>
      </c>
    </row>
    <row r="30" ht="15.75" customHeight="1">
      <c r="A30" t="s">
        <v>538</v>
      </c>
      <c r="B30" t="s">
        <v>321</v>
      </c>
      <c r="C30">
        <v>3.0</v>
      </c>
      <c r="D30">
        <f t="shared" si="11"/>
        <v>3</v>
      </c>
    </row>
    <row r="31" ht="15.75" customHeight="1">
      <c r="A31" t="s">
        <v>541</v>
      </c>
      <c r="B31" t="s">
        <v>562</v>
      </c>
      <c r="C31">
        <v>3.0</v>
      </c>
      <c r="D31">
        <f t="shared" si="11"/>
        <v>3</v>
      </c>
    </row>
    <row r="32" ht="15.75" customHeight="1">
      <c r="A32" t="s">
        <v>540</v>
      </c>
      <c r="B32" t="s">
        <v>72</v>
      </c>
      <c r="C32">
        <v>3.0</v>
      </c>
      <c r="D32">
        <f t="shared" si="11"/>
        <v>3</v>
      </c>
    </row>
    <row r="33" ht="15.75" customHeight="1">
      <c r="A33" t="s">
        <v>1</v>
      </c>
      <c r="B33" t="s">
        <v>1</v>
      </c>
      <c r="C33">
        <v>1.0</v>
      </c>
      <c r="D33">
        <f t="shared" si="11"/>
        <v>1</v>
      </c>
    </row>
    <row r="34" ht="15.75" customHeight="1">
      <c r="A34" t="s">
        <v>546</v>
      </c>
      <c r="B34" t="s">
        <v>25</v>
      </c>
      <c r="C34">
        <v>2.0</v>
      </c>
      <c r="D34">
        <f t="shared" si="11"/>
        <v>0</v>
      </c>
    </row>
    <row r="35" ht="15.75" customHeight="1">
      <c r="A35" t="s">
        <v>545</v>
      </c>
      <c r="B35" t="s">
        <v>234</v>
      </c>
      <c r="C35">
        <v>1.0</v>
      </c>
      <c r="D35">
        <f t="shared" si="11"/>
        <v>0</v>
      </c>
    </row>
    <row r="36" ht="15.75" customHeight="1">
      <c r="A36" t="s">
        <v>539</v>
      </c>
      <c r="B36" t="s">
        <v>25</v>
      </c>
      <c r="C36">
        <v>3.0</v>
      </c>
      <c r="D36">
        <f t="shared" si="11"/>
        <v>0</v>
      </c>
    </row>
    <row r="37" ht="15.75" customHeight="1">
      <c r="A37" t="s">
        <v>549</v>
      </c>
      <c r="B37" t="s">
        <v>568</v>
      </c>
      <c r="C37">
        <v>4.0</v>
      </c>
      <c r="D37">
        <f t="shared" si="11"/>
        <v>0</v>
      </c>
    </row>
    <row r="38" ht="15.75" customHeight="1">
      <c r="A38" t="s">
        <v>533</v>
      </c>
      <c r="B38" t="s">
        <v>566</v>
      </c>
      <c r="C38">
        <v>3.0</v>
      </c>
      <c r="D38">
        <f t="shared" si="11"/>
        <v>0</v>
      </c>
    </row>
    <row r="39" ht="15.75" customHeight="1">
      <c r="A39" t="s">
        <v>29</v>
      </c>
      <c r="B39" t="s">
        <v>253</v>
      </c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39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portrait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86"/>
    <col customWidth="1" min="2" max="2" width="17.57"/>
    <col customWidth="1" min="3" max="3" width="22.43"/>
    <col customWidth="1" min="4" max="5" width="10.14"/>
    <col customWidth="1" min="6" max="7" width="8.71"/>
    <col customWidth="1" min="8" max="10" width="10.14"/>
    <col customWidth="1" min="11" max="26" width="8.71"/>
  </cols>
  <sheetData>
    <row r="1">
      <c r="A1" s="2" t="s">
        <v>225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538</v>
      </c>
      <c r="C4" s="1" t="s">
        <v>29</v>
      </c>
      <c r="D4" s="1" t="s">
        <v>549</v>
      </c>
      <c r="E4" s="1" t="s">
        <v>29</v>
      </c>
      <c r="F4" s="1" t="s">
        <v>29</v>
      </c>
      <c r="G4" s="30"/>
      <c r="H4" s="1" t="s">
        <v>533</v>
      </c>
      <c r="I4" s="1" t="s">
        <v>29</v>
      </c>
      <c r="J4" s="1" t="s">
        <v>29</v>
      </c>
    </row>
    <row r="5">
      <c r="B5" t="str">
        <f t="shared" ref="B5:F5" si="1">VLOOKUP(B4,$A$27:$B$40,2,FALSE)</f>
        <v>Suma Thomas</v>
      </c>
      <c r="C5" t="str">
        <f t="shared" si="1"/>
        <v>-</v>
      </c>
      <c r="D5" s="11" t="str">
        <f t="shared" si="1"/>
        <v>Shely Das/Lina Mondal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VLOOKUP(H4,$A$27:$B$40,2,FALSE)</f>
        <v>Sanchayan K Ray/Thomas Antony</v>
      </c>
      <c r="I5" t="str">
        <f t="shared" si="2"/>
        <v>-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546</v>
      </c>
      <c r="C8" s="1" t="s">
        <v>533</v>
      </c>
      <c r="D8" s="1" t="s">
        <v>29</v>
      </c>
      <c r="E8" s="1" t="s">
        <v>549</v>
      </c>
      <c r="F8" s="1" t="s">
        <v>29</v>
      </c>
      <c r="G8" s="30"/>
      <c r="H8" s="1" t="s">
        <v>29</v>
      </c>
      <c r="I8" s="1" t="s">
        <v>29</v>
      </c>
      <c r="J8" s="1" t="s">
        <v>29</v>
      </c>
    </row>
    <row r="9">
      <c r="B9" t="str">
        <f t="shared" ref="B9:F9" si="3">VLOOKUP(B8,$A$27:$B$40,2,FALSE)</f>
        <v>Suma Thomas</v>
      </c>
      <c r="C9" t="str">
        <f t="shared" si="3"/>
        <v>Sanchayan K Ray/Thomas Antony</v>
      </c>
      <c r="D9" t="str">
        <f t="shared" si="3"/>
        <v>-</v>
      </c>
      <c r="E9" t="str">
        <f t="shared" si="3"/>
        <v>Shely Das/Lina Mondal</v>
      </c>
      <c r="F9" t="str">
        <f t="shared" si="3"/>
        <v>-</v>
      </c>
      <c r="G9" s="30"/>
      <c r="H9" t="str">
        <f t="shared" ref="H9:J9" si="4">VLOOKUP(H8,$A$27:$B$40,2,FALSE)</f>
        <v>-</v>
      </c>
      <c r="I9" t="str">
        <f t="shared" si="4"/>
        <v>-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538</v>
      </c>
      <c r="C12" s="1" t="s">
        <v>29</v>
      </c>
      <c r="D12" s="1" t="s">
        <v>29</v>
      </c>
      <c r="E12" s="1" t="s">
        <v>29</v>
      </c>
      <c r="F12" s="1" t="s">
        <v>549</v>
      </c>
      <c r="G12" s="30"/>
      <c r="H12" s="1" t="s">
        <v>29</v>
      </c>
      <c r="I12" s="1" t="s">
        <v>29</v>
      </c>
      <c r="J12" s="1" t="s">
        <v>29</v>
      </c>
    </row>
    <row r="13">
      <c r="B13" t="str">
        <f t="shared" ref="B13:F13" si="5">VLOOKUP(B12,$A$27:$B$40,2,FALSE)</f>
        <v>Suma Thomas</v>
      </c>
      <c r="C13" t="str">
        <f t="shared" si="5"/>
        <v>-</v>
      </c>
      <c r="D13" t="str">
        <f t="shared" si="5"/>
        <v>-</v>
      </c>
      <c r="E13" t="str">
        <f t="shared" si="5"/>
        <v>-</v>
      </c>
      <c r="F13" t="str">
        <f t="shared" si="5"/>
        <v>Shely Das/Lina Mondal</v>
      </c>
      <c r="G13" s="30"/>
      <c r="H13" t="str">
        <f t="shared" ref="H13:J13" si="6">VLOOKUP(H12,$A$27:$B$40,2,FALSE)</f>
        <v>-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546</v>
      </c>
      <c r="C16" s="1" t="s">
        <v>533</v>
      </c>
      <c r="D16" s="1" t="s">
        <v>29</v>
      </c>
      <c r="E16" s="1" t="s">
        <v>29</v>
      </c>
      <c r="F16" s="1" t="s">
        <v>29</v>
      </c>
      <c r="G16" s="30"/>
      <c r="H16" s="1" t="s">
        <v>29</v>
      </c>
      <c r="I16" s="1" t="s">
        <v>29</v>
      </c>
      <c r="J16" s="1" t="s">
        <v>29</v>
      </c>
    </row>
    <row r="17">
      <c r="B17" t="str">
        <f t="shared" ref="B17:F17" si="7">VLOOKUP(B16,$A$27:$B$40,2,FALSE)</f>
        <v>Suma Thomas</v>
      </c>
      <c r="C17" t="str">
        <f t="shared" si="7"/>
        <v>Sanchayan K Ray/Thomas Antony</v>
      </c>
      <c r="D17" t="str">
        <f t="shared" si="7"/>
        <v>-</v>
      </c>
      <c r="E17" t="str">
        <f t="shared" si="7"/>
        <v>-</v>
      </c>
      <c r="F17" t="str">
        <f t="shared" si="7"/>
        <v>-</v>
      </c>
      <c r="G17" s="30"/>
      <c r="H17" t="str">
        <f t="shared" ref="H17:J17" si="8">VLOOKUP(H16,$A$27:$B$40,2,FALSE)</f>
        <v>-</v>
      </c>
      <c r="I17" t="str">
        <f t="shared" si="8"/>
        <v>-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538</v>
      </c>
      <c r="C20" s="1" t="s">
        <v>29</v>
      </c>
      <c r="D20" s="1" t="s">
        <v>549</v>
      </c>
      <c r="E20" s="1" t="s">
        <v>29</v>
      </c>
      <c r="F20" s="1" t="s">
        <v>29</v>
      </c>
      <c r="G20" s="30"/>
      <c r="H20" s="1" t="s">
        <v>29</v>
      </c>
      <c r="I20" s="1" t="s">
        <v>29</v>
      </c>
      <c r="J20" s="1" t="s">
        <v>545</v>
      </c>
    </row>
    <row r="21" ht="15.75" customHeight="1">
      <c r="B21" t="str">
        <f t="shared" ref="B21:F21" si="9">VLOOKUP(B20,$A$27:$B$40,2,FALSE)</f>
        <v>Suma Thomas</v>
      </c>
      <c r="C21" t="str">
        <f t="shared" si="9"/>
        <v>-</v>
      </c>
      <c r="D21" t="str">
        <f t="shared" si="9"/>
        <v>Shely Das/Lina Mondal</v>
      </c>
      <c r="E21" t="str">
        <f t="shared" si="9"/>
        <v>-</v>
      </c>
      <c r="F21" t="str">
        <f t="shared" si="9"/>
        <v>-</v>
      </c>
      <c r="G21" s="30"/>
      <c r="H21" t="str">
        <f t="shared" ref="H21:J21" si="10">VLOOKUP(H20,$A$27:$B$40,2,FALSE)</f>
        <v>-</v>
      </c>
      <c r="I21" t="str">
        <f t="shared" si="10"/>
        <v>-</v>
      </c>
      <c r="J21" t="str">
        <f t="shared" si="10"/>
        <v>Ransdel Manuel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350</v>
      </c>
      <c r="C26">
        <v>5.0</v>
      </c>
      <c r="D26">
        <f t="shared" ref="D26:D38" si="11">$C26-COUNTIF($A$4:$J$21,$A26)</f>
        <v>5</v>
      </c>
    </row>
    <row r="27" ht="15.75" customHeight="1">
      <c r="A27" t="s">
        <v>537</v>
      </c>
      <c r="B27" t="s">
        <v>71</v>
      </c>
      <c r="C27">
        <v>4.0</v>
      </c>
      <c r="D27">
        <f t="shared" si="11"/>
        <v>4</v>
      </c>
    </row>
    <row r="28" ht="15.75" customHeight="1">
      <c r="A28" t="s">
        <v>547</v>
      </c>
      <c r="B28" t="s">
        <v>116</v>
      </c>
      <c r="C28">
        <v>4.0</v>
      </c>
      <c r="D28">
        <f t="shared" si="11"/>
        <v>4</v>
      </c>
    </row>
    <row r="29" ht="15.75" customHeight="1">
      <c r="A29" t="s">
        <v>540</v>
      </c>
      <c r="B29" t="s">
        <v>176</v>
      </c>
      <c r="C29">
        <v>3.0</v>
      </c>
      <c r="D29">
        <f t="shared" si="11"/>
        <v>3</v>
      </c>
    </row>
    <row r="30" ht="15.75" customHeight="1">
      <c r="A30" t="s">
        <v>544</v>
      </c>
      <c r="B30" t="s">
        <v>248</v>
      </c>
      <c r="C30">
        <v>4.0</v>
      </c>
      <c r="D30">
        <f t="shared" si="11"/>
        <v>4</v>
      </c>
    </row>
    <row r="31" ht="15.75" customHeight="1">
      <c r="A31" t="s">
        <v>539</v>
      </c>
      <c r="B31" t="s">
        <v>328</v>
      </c>
      <c r="C31">
        <v>3.0</v>
      </c>
      <c r="D31">
        <f t="shared" si="11"/>
        <v>3</v>
      </c>
    </row>
    <row r="32" ht="15.75" customHeight="1">
      <c r="A32" t="s">
        <v>541</v>
      </c>
      <c r="B32" t="s">
        <v>562</v>
      </c>
      <c r="C32">
        <v>3.0</v>
      </c>
      <c r="D32">
        <f t="shared" si="11"/>
        <v>3</v>
      </c>
    </row>
    <row r="33" ht="15.75" customHeight="1">
      <c r="A33" t="s">
        <v>538</v>
      </c>
      <c r="B33" t="s">
        <v>339</v>
      </c>
      <c r="C33">
        <v>3.0</v>
      </c>
      <c r="D33">
        <f t="shared" si="11"/>
        <v>0</v>
      </c>
    </row>
    <row r="34" ht="15.75" customHeight="1">
      <c r="A34" t="s">
        <v>1</v>
      </c>
      <c r="B34" t="s">
        <v>1</v>
      </c>
      <c r="C34">
        <v>1.0</v>
      </c>
      <c r="D34">
        <f t="shared" si="11"/>
        <v>1</v>
      </c>
    </row>
    <row r="35" ht="15.75" customHeight="1">
      <c r="A35" t="s">
        <v>546</v>
      </c>
      <c r="B35" t="s">
        <v>339</v>
      </c>
      <c r="C35">
        <v>2.0</v>
      </c>
      <c r="D35">
        <f t="shared" si="11"/>
        <v>0</v>
      </c>
    </row>
    <row r="36" ht="15.75" customHeight="1">
      <c r="A36" t="s">
        <v>545</v>
      </c>
      <c r="B36" t="s">
        <v>234</v>
      </c>
      <c r="C36">
        <v>1.0</v>
      </c>
      <c r="D36">
        <f t="shared" si="11"/>
        <v>0</v>
      </c>
    </row>
    <row r="37" ht="15.75" customHeight="1">
      <c r="A37" t="s">
        <v>549</v>
      </c>
      <c r="B37" t="s">
        <v>568</v>
      </c>
      <c r="C37">
        <v>4.0</v>
      </c>
      <c r="D37">
        <f t="shared" si="11"/>
        <v>0</v>
      </c>
    </row>
    <row r="38" ht="15.75" customHeight="1">
      <c r="A38" t="s">
        <v>533</v>
      </c>
      <c r="B38" t="s">
        <v>566</v>
      </c>
      <c r="C38">
        <v>3.0</v>
      </c>
      <c r="D38">
        <f t="shared" si="11"/>
        <v>0</v>
      </c>
    </row>
    <row r="39" ht="15.75" customHeight="1">
      <c r="A39" t="s">
        <v>29</v>
      </c>
      <c r="B39" t="s">
        <v>253</v>
      </c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B28">
      <formula1>INDIRECT(#REF!)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86"/>
    <col customWidth="1" min="2" max="2" width="18.0"/>
    <col customWidth="1" min="3" max="3" width="17.0"/>
    <col customWidth="1" min="4" max="6" width="10.14"/>
    <col customWidth="1" min="7" max="7" width="8.71"/>
    <col customWidth="1" min="8" max="8" width="10.14"/>
    <col customWidth="1" min="9" max="9" width="9.14"/>
    <col customWidth="1" min="10" max="26" width="8.71"/>
  </cols>
  <sheetData>
    <row r="1">
      <c r="A1" s="2" t="s">
        <v>226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538</v>
      </c>
      <c r="C4" s="1" t="s">
        <v>549</v>
      </c>
      <c r="D4" s="1" t="s">
        <v>29</v>
      </c>
      <c r="E4" s="1" t="s">
        <v>29</v>
      </c>
      <c r="F4" s="1" t="s">
        <v>29</v>
      </c>
      <c r="G4" s="30"/>
      <c r="H4" s="1" t="s">
        <v>533</v>
      </c>
      <c r="I4" s="1" t="s">
        <v>29</v>
      </c>
      <c r="J4" s="1" t="s">
        <v>29</v>
      </c>
    </row>
    <row r="5">
      <c r="B5" t="str">
        <f t="shared" ref="B5:F5" si="1">VLOOKUP(B4,$A$26:$B$41,2,FALSE)</f>
        <v>Anupam Banerjee</v>
      </c>
      <c r="C5" t="str">
        <f t="shared" si="1"/>
        <v>Rekha Shaw/Samhita Chatterjee</v>
      </c>
      <c r="D5" s="11" t="str">
        <f t="shared" si="1"/>
        <v>-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VLOOKUP(H4,$A$26:$B$41,2,FALSE)</f>
        <v>Monidipa Mukherjee/Sharmilee Acharyya</v>
      </c>
      <c r="I5" t="str">
        <f t="shared" si="2"/>
        <v>-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546</v>
      </c>
      <c r="C8" s="1" t="s">
        <v>533</v>
      </c>
      <c r="D8" s="1" t="s">
        <v>29</v>
      </c>
      <c r="E8" s="1" t="s">
        <v>549</v>
      </c>
      <c r="F8" s="1" t="s">
        <v>29</v>
      </c>
      <c r="G8" s="30"/>
      <c r="H8" s="1" t="s">
        <v>29</v>
      </c>
      <c r="I8" s="1" t="s">
        <v>29</v>
      </c>
      <c r="J8" s="1" t="s">
        <v>29</v>
      </c>
    </row>
    <row r="9">
      <c r="B9" t="str">
        <f t="shared" ref="B9:F9" si="3">VLOOKUP(B8,$A$26:$B$41,2,FALSE)</f>
        <v>Anupam Banerjee</v>
      </c>
      <c r="C9" t="str">
        <f t="shared" si="3"/>
        <v>Monidipa Mukherjee/Sharmilee Acharyya</v>
      </c>
      <c r="D9" t="str">
        <f t="shared" si="3"/>
        <v>-</v>
      </c>
      <c r="E9" t="str">
        <f t="shared" si="3"/>
        <v>Rekha Shaw/Samhita Chatterjee</v>
      </c>
      <c r="F9" t="str">
        <f t="shared" si="3"/>
        <v>-</v>
      </c>
      <c r="G9" s="30"/>
      <c r="H9" t="str">
        <f t="shared" ref="H9:J9" si="4">VLOOKUP(H8,$A$26:$B$41,2,FALSE)</f>
        <v>-</v>
      </c>
      <c r="I9" t="str">
        <f t="shared" si="4"/>
        <v>-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538</v>
      </c>
      <c r="C12" s="1" t="s">
        <v>29</v>
      </c>
      <c r="D12" s="1" t="s">
        <v>29</v>
      </c>
      <c r="E12" s="1" t="s">
        <v>29</v>
      </c>
      <c r="F12" s="33" t="s">
        <v>549</v>
      </c>
      <c r="G12" s="30"/>
      <c r="H12" s="1" t="s">
        <v>29</v>
      </c>
      <c r="I12" s="1" t="s">
        <v>29</v>
      </c>
      <c r="J12" s="1" t="s">
        <v>29</v>
      </c>
    </row>
    <row r="13">
      <c r="B13" t="str">
        <f t="shared" ref="B13:F13" si="5">VLOOKUP(B12,$A$26:$B$41,2,FALSE)</f>
        <v>Anupam Banerjee</v>
      </c>
      <c r="C13" t="str">
        <f t="shared" si="5"/>
        <v>-</v>
      </c>
      <c r="D13" t="str">
        <f t="shared" si="5"/>
        <v>-</v>
      </c>
      <c r="E13" t="str">
        <f t="shared" si="5"/>
        <v>-</v>
      </c>
      <c r="F13" t="str">
        <f t="shared" si="5"/>
        <v>Rekha Shaw/Samhita Chatterjee</v>
      </c>
      <c r="G13" s="30"/>
      <c r="H13" t="str">
        <f t="shared" ref="H13:J13" si="6">VLOOKUP(H12,$A$26:$B$41,2,FALSE)</f>
        <v>-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546</v>
      </c>
      <c r="C16" s="1" t="s">
        <v>533</v>
      </c>
      <c r="D16" s="1" t="s">
        <v>29</v>
      </c>
      <c r="E16" s="1" t="s">
        <v>29</v>
      </c>
      <c r="F16" s="1" t="s">
        <v>29</v>
      </c>
      <c r="G16" s="30"/>
      <c r="H16" s="1" t="s">
        <v>29</v>
      </c>
      <c r="I16" s="1" t="s">
        <v>29</v>
      </c>
      <c r="J16" s="1" t="s">
        <v>29</v>
      </c>
    </row>
    <row r="17">
      <c r="B17" t="str">
        <f t="shared" ref="B17:F17" si="7">VLOOKUP(B16,$A$26:$B$41,2,FALSE)</f>
        <v>Anupam Banerjee</v>
      </c>
      <c r="C17" t="str">
        <f t="shared" si="7"/>
        <v>Monidipa Mukherjee/Sharmilee Acharyya</v>
      </c>
      <c r="D17" t="str">
        <f t="shared" si="7"/>
        <v>-</v>
      </c>
      <c r="E17" t="str">
        <f t="shared" si="7"/>
        <v>-</v>
      </c>
      <c r="F17" t="str">
        <f t="shared" si="7"/>
        <v>-</v>
      </c>
      <c r="G17" s="30"/>
      <c r="H17" t="str">
        <f t="shared" ref="H17:J17" si="8">VLOOKUP(H16,$A$26:$B$41,2,FALSE)</f>
        <v>-</v>
      </c>
      <c r="I17" t="str">
        <f t="shared" si="8"/>
        <v>-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538</v>
      </c>
      <c r="C20" s="1" t="s">
        <v>29</v>
      </c>
      <c r="D20" s="33" t="s">
        <v>549</v>
      </c>
      <c r="E20" s="1" t="s">
        <v>29</v>
      </c>
      <c r="F20" s="1" t="s">
        <v>29</v>
      </c>
      <c r="G20" s="30"/>
      <c r="H20" s="1" t="s">
        <v>29</v>
      </c>
      <c r="I20" s="1" t="s">
        <v>29</v>
      </c>
      <c r="J20" s="1" t="s">
        <v>29</v>
      </c>
    </row>
    <row r="21" ht="15.75" customHeight="1">
      <c r="B21" t="str">
        <f t="shared" ref="B21:F21" si="9">VLOOKUP(B20,$A$26:$B$41,2,FALSE)</f>
        <v>Anupam Banerjee</v>
      </c>
      <c r="C21" t="str">
        <f t="shared" si="9"/>
        <v>-</v>
      </c>
      <c r="D21" t="str">
        <f t="shared" si="9"/>
        <v>Rekha Shaw/Samhita Chatterjee</v>
      </c>
      <c r="E21" t="str">
        <f t="shared" si="9"/>
        <v>-</v>
      </c>
      <c r="F21" t="str">
        <f t="shared" si="9"/>
        <v>-</v>
      </c>
      <c r="G21" s="30"/>
      <c r="H21" t="str">
        <f t="shared" ref="H21:J21" si="10">VLOOKUP(H20,$A$26:$B$41,2,FALSE)</f>
        <v>-</v>
      </c>
      <c r="I21" t="str">
        <f t="shared" si="10"/>
        <v>-</v>
      </c>
      <c r="J21" t="str">
        <f t="shared" si="10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</row>
    <row r="26" ht="15.75" customHeight="1">
      <c r="A26" t="s">
        <v>528</v>
      </c>
      <c r="B26" t="s">
        <v>219</v>
      </c>
      <c r="C26">
        <v>5.0</v>
      </c>
      <c r="D26">
        <f t="shared" ref="D26:D38" si="11">$C26-COUNTIF($A$4:$J$21,$A26)</f>
        <v>5</v>
      </c>
    </row>
    <row r="27" ht="15.75" customHeight="1">
      <c r="A27" t="s">
        <v>547</v>
      </c>
      <c r="B27" t="s">
        <v>363</v>
      </c>
      <c r="C27">
        <v>4.0</v>
      </c>
      <c r="D27">
        <f t="shared" si="11"/>
        <v>4</v>
      </c>
    </row>
    <row r="28" ht="15.75" customHeight="1">
      <c r="A28" t="s">
        <v>537</v>
      </c>
      <c r="B28" t="s">
        <v>339</v>
      </c>
      <c r="C28">
        <v>4.0</v>
      </c>
      <c r="D28">
        <f t="shared" si="11"/>
        <v>4</v>
      </c>
    </row>
    <row r="29" ht="15.75" customHeight="1">
      <c r="A29" t="s">
        <v>544</v>
      </c>
      <c r="B29" t="s">
        <v>123</v>
      </c>
      <c r="C29">
        <v>4.0</v>
      </c>
      <c r="D29">
        <f t="shared" si="11"/>
        <v>4</v>
      </c>
    </row>
    <row r="30" ht="15.75" customHeight="1">
      <c r="A30" t="s">
        <v>541</v>
      </c>
      <c r="B30" t="s">
        <v>98</v>
      </c>
      <c r="C30">
        <v>3.0</v>
      </c>
      <c r="D30">
        <f t="shared" si="11"/>
        <v>3</v>
      </c>
    </row>
    <row r="31" ht="15.75" customHeight="1">
      <c r="A31" t="s">
        <v>540</v>
      </c>
      <c r="B31" t="s">
        <v>168</v>
      </c>
      <c r="C31">
        <v>3.0</v>
      </c>
      <c r="D31">
        <f t="shared" si="11"/>
        <v>3</v>
      </c>
    </row>
    <row r="32" ht="15.75" customHeight="1">
      <c r="A32" t="s">
        <v>539</v>
      </c>
      <c r="B32" t="s">
        <v>328</v>
      </c>
      <c r="C32">
        <v>3.0</v>
      </c>
      <c r="D32">
        <f t="shared" si="11"/>
        <v>3</v>
      </c>
    </row>
    <row r="33" ht="15.75" customHeight="1">
      <c r="A33" t="s">
        <v>1</v>
      </c>
      <c r="B33" t="s">
        <v>1</v>
      </c>
      <c r="C33">
        <v>1.0</v>
      </c>
      <c r="D33">
        <f t="shared" si="11"/>
        <v>1</v>
      </c>
    </row>
    <row r="34" ht="15.75" customHeight="1">
      <c r="A34" t="s">
        <v>538</v>
      </c>
      <c r="B34" t="s">
        <v>66</v>
      </c>
      <c r="C34">
        <v>3.0</v>
      </c>
      <c r="D34">
        <f t="shared" si="11"/>
        <v>0</v>
      </c>
    </row>
    <row r="35" ht="15.75" customHeight="1">
      <c r="A35" t="s">
        <v>546</v>
      </c>
      <c r="B35" t="s">
        <v>66</v>
      </c>
      <c r="C35">
        <v>2.0</v>
      </c>
      <c r="D35">
        <f t="shared" si="11"/>
        <v>0</v>
      </c>
    </row>
    <row r="36" ht="15.75" customHeight="1">
      <c r="A36" t="s">
        <v>545</v>
      </c>
      <c r="B36" t="s">
        <v>234</v>
      </c>
      <c r="C36">
        <v>1.0</v>
      </c>
      <c r="D36">
        <f t="shared" si="11"/>
        <v>1</v>
      </c>
    </row>
    <row r="37" ht="15.75" customHeight="1">
      <c r="A37" t="s">
        <v>549</v>
      </c>
      <c r="B37" t="s">
        <v>576</v>
      </c>
      <c r="C37">
        <v>4.0</v>
      </c>
      <c r="D37">
        <f t="shared" si="11"/>
        <v>0</v>
      </c>
    </row>
    <row r="38" ht="15.75" customHeight="1">
      <c r="A38" t="s">
        <v>533</v>
      </c>
      <c r="B38" t="s">
        <v>579</v>
      </c>
      <c r="C38">
        <v>3.0</v>
      </c>
      <c r="D38">
        <f t="shared" si="11"/>
        <v>0</v>
      </c>
    </row>
    <row r="39" ht="15.75" customHeight="1">
      <c r="A39" t="s">
        <v>29</v>
      </c>
      <c r="B39" t="s">
        <v>253</v>
      </c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39:B40">
      <formula1>INDIRECT($A$40)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B36">
      <formula1>INDIRECT($A$36)</formula1>
    </dataValidation>
    <dataValidation type="list" allowBlank="1" showErrorMessage="1" sqref="B27">
      <formula1>INDIRECT(#REF!)</formula1>
    </dataValidation>
    <dataValidation type="list" allowBlank="1" showErrorMessage="1" sqref="H6">
      <formula1>INDIRECT($H$4)</formula1>
    </dataValidation>
    <dataValidation type="list" allowBlank="1" showErrorMessage="1" sqref="B34">
      <formula1>INDIRECT($A$34)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5.71"/>
    <col customWidth="1" min="2" max="2" width="18.43"/>
    <col customWidth="1" min="3" max="3" width="8.71"/>
    <col customWidth="1" min="4" max="4" width="13.86"/>
    <col customWidth="1" min="5" max="26" width="8.71"/>
  </cols>
  <sheetData>
    <row r="1">
      <c r="A1" s="2" t="s">
        <v>230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29</v>
      </c>
      <c r="C4" s="1" t="s">
        <v>528</v>
      </c>
      <c r="D4" s="1" t="s">
        <v>536</v>
      </c>
      <c r="E4" s="1" t="s">
        <v>546</v>
      </c>
      <c r="F4" s="1" t="s">
        <v>29</v>
      </c>
      <c r="G4" s="30"/>
      <c r="H4" s="1" t="s">
        <v>528</v>
      </c>
      <c r="I4" s="1" t="s">
        <v>540</v>
      </c>
      <c r="J4" s="1" t="s">
        <v>540</v>
      </c>
    </row>
    <row r="5">
      <c r="B5" t="str">
        <f t="shared" ref="B5:F5" si="1">VLOOKUP(B4,$A$26:$B$41,2,FALSE)</f>
        <v>-</v>
      </c>
      <c r="C5" t="str">
        <f t="shared" si="1"/>
        <v>Sunita Nair</v>
      </c>
      <c r="D5" s="11" t="str">
        <f t="shared" si="1"/>
        <v>Sanchayan K Ray/Thomas Antony/Debarshi Chakraborty</v>
      </c>
      <c r="E5" s="11" t="str">
        <f t="shared" si="1"/>
        <v>James Badal + Fr.Rector</v>
      </c>
      <c r="F5" s="11" t="str">
        <f t="shared" si="1"/>
        <v>-</v>
      </c>
      <c r="G5" s="30"/>
      <c r="H5" t="str">
        <f t="shared" ref="H5:J5" si="2">VLOOKUP(H4,$A$26:$B$41,2,FALSE)</f>
        <v>Sunita Nair</v>
      </c>
      <c r="I5" t="str">
        <f t="shared" si="2"/>
        <v>Partha Pratim Lahiri</v>
      </c>
      <c r="J5" t="str">
        <f t="shared" si="2"/>
        <v>Partha Pratim Lahiri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540</v>
      </c>
      <c r="C8" s="1" t="s">
        <v>29</v>
      </c>
      <c r="D8" s="1" t="s">
        <v>29</v>
      </c>
      <c r="E8" s="1" t="s">
        <v>538</v>
      </c>
      <c r="F8" s="1" t="s">
        <v>536</v>
      </c>
      <c r="G8" s="30"/>
      <c r="H8" s="1" t="s">
        <v>29</v>
      </c>
      <c r="I8" s="1" t="s">
        <v>532</v>
      </c>
      <c r="J8" s="1" t="s">
        <v>538</v>
      </c>
    </row>
    <row r="9">
      <c r="B9" t="str">
        <f t="shared" ref="B9:F9" si="3">VLOOKUP(B8,$A$26:$B$41,2,FALSE)</f>
        <v>Partha Pratim Lahiri</v>
      </c>
      <c r="C9" t="str">
        <f t="shared" si="3"/>
        <v>-</v>
      </c>
      <c r="D9" t="str">
        <f t="shared" si="3"/>
        <v>-</v>
      </c>
      <c r="E9" t="str">
        <f t="shared" si="3"/>
        <v>Shaswati Chatterjee</v>
      </c>
      <c r="F9" t="str">
        <f t="shared" si="3"/>
        <v>Sanchayan K Ray/Thomas Antony/Debarshi Chakraborty</v>
      </c>
      <c r="G9" s="30"/>
      <c r="H9" t="str">
        <f t="shared" ref="H9:J9" si="4">VLOOKUP(H8,$A$26:$B$41,2,FALSE)</f>
        <v>-</v>
      </c>
      <c r="I9" t="str">
        <f t="shared" si="4"/>
        <v>Jaylakshmi Hazra/Ransdel Manuel</v>
      </c>
      <c r="J9" t="str">
        <f t="shared" si="4"/>
        <v>Shaswati Chatterjee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540</v>
      </c>
      <c r="C12" s="1" t="s">
        <v>29</v>
      </c>
      <c r="D12" s="1" t="s">
        <v>29</v>
      </c>
      <c r="E12" s="1" t="s">
        <v>537</v>
      </c>
      <c r="F12" s="1" t="s">
        <v>29</v>
      </c>
      <c r="G12" s="30"/>
      <c r="H12" s="1" t="s">
        <v>536</v>
      </c>
      <c r="I12" s="1" t="s">
        <v>532</v>
      </c>
      <c r="J12" s="1" t="s">
        <v>537</v>
      </c>
    </row>
    <row r="13">
      <c r="B13" t="str">
        <f t="shared" ref="B13:F13" si="5">VLOOKUP(B12,$A$26:$B$41,2,FALSE)</f>
        <v>Partha Pratim Lahiri</v>
      </c>
      <c r="C13" t="str">
        <f t="shared" si="5"/>
        <v>-</v>
      </c>
      <c r="D13" t="str">
        <f t="shared" si="5"/>
        <v>-</v>
      </c>
      <c r="E13" t="str">
        <f t="shared" si="5"/>
        <v>Anupam Banerjee</v>
      </c>
      <c r="F13" t="str">
        <f t="shared" si="5"/>
        <v>-</v>
      </c>
      <c r="G13" s="30"/>
      <c r="H13" t="str">
        <f t="shared" ref="H13:J13" si="6">VLOOKUP(H12,$A$26:$B$41,2,FALSE)</f>
        <v>Sanchayan K Ray/Thomas Antony/Debarshi Chakraborty</v>
      </c>
      <c r="I13" t="str">
        <f t="shared" si="6"/>
        <v>Jaylakshmi Hazra/Ransdel Manuel</v>
      </c>
      <c r="J13" t="str">
        <f t="shared" si="6"/>
        <v>Anupam Banerjee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540</v>
      </c>
      <c r="C16" s="1" t="s">
        <v>29</v>
      </c>
      <c r="D16" s="1" t="s">
        <v>29</v>
      </c>
      <c r="E16" s="1" t="s">
        <v>29</v>
      </c>
      <c r="F16" s="1" t="s">
        <v>532</v>
      </c>
      <c r="G16" s="30"/>
      <c r="H16" s="1" t="s">
        <v>29</v>
      </c>
      <c r="I16" s="1" t="s">
        <v>536</v>
      </c>
      <c r="J16" s="1" t="s">
        <v>536</v>
      </c>
    </row>
    <row r="17">
      <c r="B17" t="str">
        <f t="shared" ref="B17:F17" si="7">VLOOKUP(B16,$A$26:$B$41,2,FALSE)</f>
        <v>Partha Pratim Lahiri</v>
      </c>
      <c r="C17" t="str">
        <f t="shared" si="7"/>
        <v>-</v>
      </c>
      <c r="D17" t="str">
        <f t="shared" si="7"/>
        <v>-</v>
      </c>
      <c r="E17" t="str">
        <f t="shared" si="7"/>
        <v>-</v>
      </c>
      <c r="F17" t="str">
        <f t="shared" si="7"/>
        <v>Jaylakshmi Hazra/Ransdel Manuel</v>
      </c>
      <c r="G17" s="30"/>
      <c r="H17" t="str">
        <f t="shared" ref="H17:J17" si="8">VLOOKUP(H16,$A$26:$B$41,2,FALSE)</f>
        <v>-</v>
      </c>
      <c r="I17" t="str">
        <f t="shared" si="8"/>
        <v>Sanchayan K Ray/Thomas Antony/Debarshi Chakraborty</v>
      </c>
      <c r="J17" t="str">
        <f t="shared" si="8"/>
        <v>Sanchayan K Ray/Thomas Antony/Debarshi Chakraborty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540</v>
      </c>
      <c r="C20" s="1" t="s">
        <v>29</v>
      </c>
      <c r="D20" s="1" t="s">
        <v>536</v>
      </c>
      <c r="E20" s="1" t="s">
        <v>539</v>
      </c>
      <c r="F20" s="1" t="s">
        <v>539</v>
      </c>
      <c r="G20" s="30"/>
      <c r="H20" s="33" t="s">
        <v>29</v>
      </c>
      <c r="I20" s="33" t="s">
        <v>29</v>
      </c>
      <c r="J20" s="33" t="s">
        <v>29</v>
      </c>
    </row>
    <row r="21" ht="15.75" customHeight="1">
      <c r="B21" t="str">
        <f t="shared" ref="B21:F21" si="9">VLOOKUP(B20,$A$26:$B$41,2,FALSE)</f>
        <v>Partha Pratim Lahiri</v>
      </c>
      <c r="C21" t="str">
        <f t="shared" si="9"/>
        <v>-</v>
      </c>
      <c r="D21" t="str">
        <f t="shared" si="9"/>
        <v>Sanchayan K Ray/Thomas Antony/Debarshi Chakraborty</v>
      </c>
      <c r="E21" t="str">
        <f t="shared" si="9"/>
        <v>Srabani Dhar</v>
      </c>
      <c r="F21" t="str">
        <f t="shared" si="9"/>
        <v>Srabani Dhar</v>
      </c>
      <c r="G21" s="30"/>
      <c r="H21" s="34" t="str">
        <f t="shared" ref="H21:J21" si="10">VLOOKUP(H20,$A$26:$B$41,2,FALSE)</f>
        <v>-</v>
      </c>
      <c r="I21" s="34" t="str">
        <f t="shared" si="10"/>
        <v>-</v>
      </c>
      <c r="J21" s="34" t="str">
        <f t="shared" si="10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  <c r="E25" s="1" t="s">
        <v>623</v>
      </c>
    </row>
    <row r="26" ht="15.75" customHeight="1">
      <c r="A26" t="s">
        <v>528</v>
      </c>
      <c r="B26" t="s">
        <v>350</v>
      </c>
      <c r="C26">
        <v>6.0</v>
      </c>
      <c r="D26">
        <f t="shared" ref="D26:D34" si="11">$C26-COUNTIF($A$4:$J$21,$A26)</f>
        <v>4</v>
      </c>
      <c r="E26">
        <v>0.0</v>
      </c>
    </row>
    <row r="27" ht="15.75" customHeight="1">
      <c r="A27" t="s">
        <v>539</v>
      </c>
      <c r="B27" t="s">
        <v>328</v>
      </c>
      <c r="C27">
        <v>6.0</v>
      </c>
      <c r="D27">
        <f t="shared" si="11"/>
        <v>4</v>
      </c>
      <c r="E27">
        <v>1.0</v>
      </c>
    </row>
    <row r="28" ht="15.75" customHeight="1">
      <c r="A28" t="s">
        <v>538</v>
      </c>
      <c r="B28" t="s">
        <v>201</v>
      </c>
      <c r="C28">
        <v>4.0</v>
      </c>
      <c r="D28">
        <f t="shared" si="11"/>
        <v>2</v>
      </c>
      <c r="E28">
        <v>0.0</v>
      </c>
    </row>
    <row r="29" ht="15.75" customHeight="1">
      <c r="A29" t="s">
        <v>537</v>
      </c>
      <c r="B29" t="s">
        <v>66</v>
      </c>
      <c r="C29">
        <v>4.0</v>
      </c>
      <c r="D29">
        <f t="shared" si="11"/>
        <v>2</v>
      </c>
      <c r="E29">
        <v>0.0</v>
      </c>
    </row>
    <row r="30" ht="15.75" customHeight="1">
      <c r="A30" t="s">
        <v>1</v>
      </c>
      <c r="B30" t="s">
        <v>1</v>
      </c>
      <c r="C30">
        <v>1.0</v>
      </c>
      <c r="D30">
        <f t="shared" si="11"/>
        <v>1</v>
      </c>
      <c r="E30">
        <v>0.0</v>
      </c>
    </row>
    <row r="31" ht="15.75" customHeight="1">
      <c r="A31" t="s">
        <v>546</v>
      </c>
      <c r="B31" t="s">
        <v>371</v>
      </c>
      <c r="C31">
        <v>1.0</v>
      </c>
      <c r="D31">
        <f t="shared" si="11"/>
        <v>0</v>
      </c>
      <c r="E31">
        <v>0.0</v>
      </c>
    </row>
    <row r="32" ht="15.75" customHeight="1">
      <c r="A32" t="s">
        <v>540</v>
      </c>
      <c r="B32" t="s">
        <v>176</v>
      </c>
      <c r="C32">
        <v>6.0</v>
      </c>
      <c r="D32">
        <f t="shared" si="11"/>
        <v>0</v>
      </c>
      <c r="E32">
        <v>1.0</v>
      </c>
    </row>
    <row r="33" ht="15.75" customHeight="1">
      <c r="A33" t="s">
        <v>536</v>
      </c>
      <c r="B33" t="s">
        <v>580</v>
      </c>
      <c r="C33">
        <v>6.0</v>
      </c>
      <c r="D33">
        <f t="shared" si="11"/>
        <v>0</v>
      </c>
      <c r="E33">
        <v>0.0</v>
      </c>
    </row>
    <row r="34" ht="15.75" customHeight="1">
      <c r="A34" t="s">
        <v>532</v>
      </c>
      <c r="B34" t="s">
        <v>559</v>
      </c>
      <c r="C34">
        <v>3.0</v>
      </c>
      <c r="D34">
        <f t="shared" si="11"/>
        <v>0</v>
      </c>
      <c r="E34">
        <v>0.0</v>
      </c>
    </row>
    <row r="35" ht="15.75" customHeight="1">
      <c r="A35" t="s">
        <v>29</v>
      </c>
      <c r="B35" t="s">
        <v>253</v>
      </c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B28">
      <formula1>INDIRECT($A$28)</formula1>
    </dataValidation>
    <dataValidation type="list" allowBlank="1" showErrorMessage="1" sqref="B38">
      <formula1>INDIRECT($A$38)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  <dataValidation type="list" allowBlank="1" showErrorMessage="1" sqref="B37">
      <formula1>INDIRECT($A$37)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39">
      <formula1>INDIRECT($A$39)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1.86"/>
    <col customWidth="1" min="2" max="2" width="20.29"/>
    <col customWidth="1" min="3" max="26" width="8.71"/>
  </cols>
  <sheetData>
    <row r="1">
      <c r="A1" s="2" t="s">
        <v>231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537</v>
      </c>
      <c r="C4" s="1" t="s">
        <v>29</v>
      </c>
      <c r="D4" s="1" t="s">
        <v>536</v>
      </c>
      <c r="E4" s="1" t="s">
        <v>29</v>
      </c>
      <c r="F4" s="1" t="s">
        <v>29</v>
      </c>
      <c r="G4" s="30"/>
      <c r="H4" s="1" t="s">
        <v>29</v>
      </c>
      <c r="I4" s="1" t="s">
        <v>539</v>
      </c>
      <c r="J4" s="1" t="s">
        <v>539</v>
      </c>
    </row>
    <row r="5">
      <c r="B5" t="str">
        <f t="shared" ref="B5:F5" si="1">VLOOKUP(B4,$A$26:$B$41,2,FALSE)</f>
        <v>Annu Dhall</v>
      </c>
      <c r="C5" t="str">
        <f t="shared" si="1"/>
        <v>-</v>
      </c>
      <c r="D5" s="11" t="str">
        <f t="shared" si="1"/>
        <v>Sanchayan K Ray/Thomas Antony/Debarshi Chakraborty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VLOOKUP(H4,$A$26:$B$41,2,FALSE)</f>
        <v>-</v>
      </c>
      <c r="I5" t="str">
        <f t="shared" si="2"/>
        <v>Malobee Paul</v>
      </c>
      <c r="J5" t="str">
        <f t="shared" si="2"/>
        <v>Malobee Paul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1</v>
      </c>
      <c r="C8" s="1" t="s">
        <v>528</v>
      </c>
      <c r="D8" s="1" t="s">
        <v>528</v>
      </c>
      <c r="E8" s="1" t="s">
        <v>29</v>
      </c>
      <c r="F8" s="1" t="s">
        <v>536</v>
      </c>
      <c r="G8" s="30"/>
      <c r="H8" s="1" t="s">
        <v>29</v>
      </c>
      <c r="I8" s="1" t="s">
        <v>532</v>
      </c>
      <c r="J8" s="1" t="s">
        <v>29</v>
      </c>
    </row>
    <row r="9">
      <c r="B9" t="str">
        <f t="shared" ref="B9:F9" si="3">VLOOKUP(B8,$A$26:$B$41,2,FALSE)</f>
        <v>Library</v>
      </c>
      <c r="C9" t="str">
        <f t="shared" si="3"/>
        <v>Roy Joseph P.</v>
      </c>
      <c r="D9" t="str">
        <f t="shared" si="3"/>
        <v>Roy Joseph P.</v>
      </c>
      <c r="E9" t="str">
        <f t="shared" si="3"/>
        <v>-</v>
      </c>
      <c r="F9" t="str">
        <f t="shared" si="3"/>
        <v>Sanchayan K Ray/Thomas Antony/Debarshi Chakraborty</v>
      </c>
      <c r="G9" s="30"/>
      <c r="H9" t="str">
        <f t="shared" ref="H9:J9" si="4">VLOOKUP(H8,$A$26:$B$41,2,FALSE)</f>
        <v>-</v>
      </c>
      <c r="I9" t="str">
        <f t="shared" si="4"/>
        <v>Jaylakshmi Hazra/Ransdel Manuel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537</v>
      </c>
      <c r="C12" s="1" t="s">
        <v>29</v>
      </c>
      <c r="D12" s="1" t="s">
        <v>29</v>
      </c>
      <c r="E12" s="1" t="s">
        <v>540</v>
      </c>
      <c r="F12" s="1" t="s">
        <v>540</v>
      </c>
      <c r="G12" s="30"/>
      <c r="H12" s="1" t="s">
        <v>536</v>
      </c>
      <c r="I12" s="1" t="s">
        <v>532</v>
      </c>
      <c r="J12" s="1" t="s">
        <v>29</v>
      </c>
    </row>
    <row r="13">
      <c r="B13" t="str">
        <f t="shared" ref="B13:F13" si="5">VLOOKUP(B12,$A$26:$B$41,2,FALSE)</f>
        <v>Annu Dhall</v>
      </c>
      <c r="C13" t="str">
        <f t="shared" si="5"/>
        <v>-</v>
      </c>
      <c r="D13" t="str">
        <f t="shared" si="5"/>
        <v>-</v>
      </c>
      <c r="E13" t="str">
        <f t="shared" si="5"/>
        <v>Biswajit Das</v>
      </c>
      <c r="F13" t="str">
        <f t="shared" si="5"/>
        <v>Biswajit Das</v>
      </c>
      <c r="G13" s="30"/>
      <c r="H13" t="str">
        <f t="shared" ref="H13:J13" si="6">VLOOKUP(H12,$A$26:$B$41,2,FALSE)</f>
        <v>Sanchayan K Ray/Thomas Antony/Debarshi Chakraborty</v>
      </c>
      <c r="I13" t="str">
        <f t="shared" si="6"/>
        <v>Jaylakshmi Hazra/Ransdel Manuel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537</v>
      </c>
      <c r="C16" s="1" t="s">
        <v>29</v>
      </c>
      <c r="D16" s="1" t="s">
        <v>29</v>
      </c>
      <c r="E16" s="1" t="s">
        <v>29</v>
      </c>
      <c r="F16" s="1" t="s">
        <v>532</v>
      </c>
      <c r="G16" s="30"/>
      <c r="H16" s="1" t="s">
        <v>29</v>
      </c>
      <c r="I16" s="1" t="s">
        <v>536</v>
      </c>
      <c r="J16" s="1" t="s">
        <v>536</v>
      </c>
    </row>
    <row r="17">
      <c r="B17" t="str">
        <f t="shared" ref="B17:F17" si="7">VLOOKUP(B16,$A$26:$B$41,2,FALSE)</f>
        <v>Annu Dhall</v>
      </c>
      <c r="C17" t="str">
        <f t="shared" si="7"/>
        <v>-</v>
      </c>
      <c r="D17" t="str">
        <f t="shared" si="7"/>
        <v>-</v>
      </c>
      <c r="E17" t="str">
        <f t="shared" si="7"/>
        <v>-</v>
      </c>
      <c r="F17" t="str">
        <f t="shared" si="7"/>
        <v>Jaylakshmi Hazra/Ransdel Manuel</v>
      </c>
      <c r="G17" s="30"/>
      <c r="H17" t="str">
        <f t="shared" ref="H17:J17" si="8">VLOOKUP(H16,$A$26:$B$41,2,FALSE)</f>
        <v>-</v>
      </c>
      <c r="I17" t="str">
        <f t="shared" si="8"/>
        <v>Sanchayan K Ray/Thomas Antony/Debarshi Chakraborty</v>
      </c>
      <c r="J17" t="str">
        <f t="shared" si="8"/>
        <v>Sanchayan K Ray/Thomas Antony/Debarshi Chakraborty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537</v>
      </c>
      <c r="C20" s="1" t="s">
        <v>29</v>
      </c>
      <c r="D20" s="1" t="s">
        <v>536</v>
      </c>
      <c r="E20" s="1" t="s">
        <v>29</v>
      </c>
      <c r="F20" s="1" t="s">
        <v>29</v>
      </c>
      <c r="G20" s="30"/>
      <c r="H20" s="33" t="s">
        <v>29</v>
      </c>
      <c r="I20" s="33" t="s">
        <v>29</v>
      </c>
      <c r="J20" s="33" t="s">
        <v>29</v>
      </c>
    </row>
    <row r="21" ht="15.75" customHeight="1">
      <c r="B21" t="str">
        <f t="shared" ref="B21:F21" si="9">VLOOKUP(B20,$A$26:$B$41,2,FALSE)</f>
        <v>Annu Dhall</v>
      </c>
      <c r="C21" t="str">
        <f t="shared" si="9"/>
        <v>-</v>
      </c>
      <c r="D21" t="str">
        <f t="shared" si="9"/>
        <v>Sanchayan K Ray/Thomas Antony/Debarshi Chakraborty</v>
      </c>
      <c r="E21" t="str">
        <f t="shared" si="9"/>
        <v>-</v>
      </c>
      <c r="F21" t="str">
        <f t="shared" si="9"/>
        <v>-</v>
      </c>
      <c r="G21" s="30"/>
      <c r="H21" s="34" t="str">
        <f t="shared" ref="H21:J21" si="10">VLOOKUP(H20,$A$26:$B$41,2,FALSE)</f>
        <v>-</v>
      </c>
      <c r="I21" s="34" t="str">
        <f t="shared" si="10"/>
        <v>-</v>
      </c>
      <c r="J21" s="34" t="str">
        <f t="shared" si="10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  <c r="E25" s="1" t="s">
        <v>623</v>
      </c>
    </row>
    <row r="26" ht="15.75" customHeight="1">
      <c r="A26" t="s">
        <v>539</v>
      </c>
      <c r="B26" t="s">
        <v>137</v>
      </c>
      <c r="C26">
        <v>6.0</v>
      </c>
      <c r="D26">
        <f t="shared" ref="D26:D34" si="11">$C26-COUNTIF($A$4:$J$21,$A26)</f>
        <v>4</v>
      </c>
      <c r="E26">
        <v>1.0</v>
      </c>
    </row>
    <row r="27" ht="15.75" customHeight="1">
      <c r="A27" t="s">
        <v>540</v>
      </c>
      <c r="B27" t="s">
        <v>72</v>
      </c>
      <c r="C27">
        <v>6.0</v>
      </c>
      <c r="D27">
        <f t="shared" si="11"/>
        <v>4</v>
      </c>
      <c r="E27">
        <v>1.0</v>
      </c>
    </row>
    <row r="28" ht="15.75" customHeight="1">
      <c r="A28" t="s">
        <v>528</v>
      </c>
      <c r="B28" t="s">
        <v>219</v>
      </c>
      <c r="C28">
        <v>6.0</v>
      </c>
      <c r="D28">
        <f t="shared" si="11"/>
        <v>4</v>
      </c>
      <c r="E28">
        <v>0.0</v>
      </c>
    </row>
    <row r="29" ht="15.75" customHeight="1">
      <c r="A29" t="s">
        <v>538</v>
      </c>
      <c r="B29" t="s">
        <v>66</v>
      </c>
      <c r="C29">
        <v>4.0</v>
      </c>
      <c r="D29">
        <f t="shared" si="11"/>
        <v>4</v>
      </c>
      <c r="E29">
        <v>0.0</v>
      </c>
    </row>
    <row r="30" ht="15.75" customHeight="1">
      <c r="A30" t="s">
        <v>1</v>
      </c>
      <c r="B30" t="s">
        <v>1</v>
      </c>
      <c r="C30">
        <v>1.0</v>
      </c>
      <c r="D30">
        <f t="shared" si="11"/>
        <v>-1</v>
      </c>
      <c r="E30">
        <v>0.0</v>
      </c>
    </row>
    <row r="31" ht="15.75" customHeight="1">
      <c r="A31" t="s">
        <v>537</v>
      </c>
      <c r="B31" t="s">
        <v>61</v>
      </c>
      <c r="C31">
        <v>4.0</v>
      </c>
      <c r="D31">
        <f t="shared" si="11"/>
        <v>0</v>
      </c>
      <c r="E31">
        <v>0.0</v>
      </c>
    </row>
    <row r="32" ht="15.75" customHeight="1">
      <c r="A32" t="s">
        <v>536</v>
      </c>
      <c r="B32" t="s">
        <v>580</v>
      </c>
      <c r="C32">
        <v>6.0</v>
      </c>
      <c r="D32">
        <f t="shared" si="11"/>
        <v>0</v>
      </c>
      <c r="E32">
        <v>0.0</v>
      </c>
    </row>
    <row r="33" ht="15.75" customHeight="1">
      <c r="A33" t="s">
        <v>546</v>
      </c>
      <c r="B33" t="s">
        <v>371</v>
      </c>
      <c r="C33">
        <v>1.0</v>
      </c>
      <c r="D33">
        <f t="shared" si="11"/>
        <v>1</v>
      </c>
      <c r="E33">
        <v>0.0</v>
      </c>
    </row>
    <row r="34" ht="15.75" customHeight="1">
      <c r="A34" t="s">
        <v>532</v>
      </c>
      <c r="B34" t="s">
        <v>559</v>
      </c>
      <c r="C34">
        <v>3.0</v>
      </c>
      <c r="D34">
        <f t="shared" si="11"/>
        <v>0</v>
      </c>
      <c r="E34">
        <v>0.0</v>
      </c>
    </row>
    <row r="35" ht="15.75" customHeight="1">
      <c r="A35" t="s">
        <v>29</v>
      </c>
      <c r="B35" t="s">
        <v>253</v>
      </c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28">
      <formula1>INDIRECT($A$28)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57"/>
    <col customWidth="1" min="2" max="2" width="23.29"/>
    <col customWidth="1" min="3" max="26" width="8.71"/>
  </cols>
  <sheetData>
    <row r="1">
      <c r="A1" s="2" t="s">
        <v>235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536</v>
      </c>
      <c r="C4" s="1" t="s">
        <v>29</v>
      </c>
      <c r="D4" s="1" t="s">
        <v>29</v>
      </c>
      <c r="E4" s="1" t="s">
        <v>29</v>
      </c>
      <c r="F4" s="1" t="s">
        <v>29</v>
      </c>
      <c r="G4" s="30"/>
      <c r="H4" s="1" t="s">
        <v>530</v>
      </c>
      <c r="I4" s="1" t="s">
        <v>530</v>
      </c>
      <c r="J4" s="1" t="s">
        <v>29</v>
      </c>
    </row>
    <row r="5">
      <c r="B5" t="str">
        <f t="shared" ref="B5:F5" si="1">VLOOKUP(B4,$A$27:$B$41,2,FALSE)</f>
        <v>Sharmilee Acharyya</v>
      </c>
      <c r="C5" t="str">
        <f t="shared" si="1"/>
        <v>-</v>
      </c>
      <c r="D5" s="11" t="str">
        <f t="shared" si="1"/>
        <v>-</v>
      </c>
      <c r="E5" s="11" t="str">
        <f t="shared" si="1"/>
        <v>-</v>
      </c>
      <c r="F5" s="11" t="str">
        <f t="shared" si="1"/>
        <v>-</v>
      </c>
      <c r="G5" s="30"/>
      <c r="H5" t="str">
        <f t="shared" ref="H5:J5" si="2">VLOOKUP(H4,$A$27:$B$41,2,FALSE)</f>
        <v>Sanjay Gupta</v>
      </c>
      <c r="I5" t="str">
        <f t="shared" si="2"/>
        <v>Sanjay Gupta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536</v>
      </c>
      <c r="C8" s="1" t="s">
        <v>29</v>
      </c>
      <c r="D8" s="1" t="s">
        <v>29</v>
      </c>
      <c r="E8" s="1" t="s">
        <v>537</v>
      </c>
      <c r="F8" s="1" t="s">
        <v>29</v>
      </c>
      <c r="G8" s="30"/>
      <c r="H8" s="1" t="s">
        <v>536</v>
      </c>
      <c r="I8" s="1" t="s">
        <v>531</v>
      </c>
      <c r="J8" s="1" t="s">
        <v>537</v>
      </c>
    </row>
    <row r="9">
      <c r="B9" t="str">
        <f t="shared" ref="B9:F9" si="3">VLOOKUP(B8,$A$27:$B$41,2,FALSE)</f>
        <v>Sharmilee Acharyya</v>
      </c>
      <c r="C9" t="str">
        <f t="shared" si="3"/>
        <v>-</v>
      </c>
      <c r="D9" t="str">
        <f t="shared" si="3"/>
        <v>-</v>
      </c>
      <c r="E9" t="str">
        <f t="shared" si="3"/>
        <v>Annu Dhall</v>
      </c>
      <c r="F9" t="str">
        <f t="shared" si="3"/>
        <v>-</v>
      </c>
      <c r="G9" s="30"/>
      <c r="H9" t="str">
        <f t="shared" ref="H9:J9" si="4">VLOOKUP(H8,$A$27:$B$41,2,FALSE)</f>
        <v>Sharmilee Acharyya</v>
      </c>
      <c r="I9" t="str">
        <f t="shared" si="4"/>
        <v>Paul Jacob/Ransdel Manuel</v>
      </c>
      <c r="J9" t="str">
        <f t="shared" si="4"/>
        <v>Annu Dhall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536</v>
      </c>
      <c r="C12" s="1" t="s">
        <v>529</v>
      </c>
      <c r="D12" s="1" t="s">
        <v>529</v>
      </c>
      <c r="E12" s="1" t="s">
        <v>546</v>
      </c>
      <c r="F12" s="1" t="s">
        <v>29</v>
      </c>
      <c r="G12" s="30"/>
      <c r="H12" s="1" t="s">
        <v>29</v>
      </c>
      <c r="I12" s="1" t="s">
        <v>531</v>
      </c>
      <c r="J12" s="1" t="s">
        <v>29</v>
      </c>
    </row>
    <row r="13">
      <c r="B13" t="str">
        <f t="shared" ref="B13:F13" si="5">VLOOKUP(B12,$A$27:$B$41,2,FALSE)</f>
        <v>Sharmilee Acharyya</v>
      </c>
      <c r="C13" t="str">
        <f t="shared" si="5"/>
        <v>Mathew Sam</v>
      </c>
      <c r="D13" t="str">
        <f t="shared" si="5"/>
        <v>Mathew Sam</v>
      </c>
      <c r="E13" t="str">
        <f t="shared" si="5"/>
        <v>James Badal + Fr.Rector</v>
      </c>
      <c r="F13" t="str">
        <f t="shared" si="5"/>
        <v>-</v>
      </c>
      <c r="G13" s="30"/>
      <c r="H13" t="str">
        <f t="shared" ref="H13:J13" si="6">VLOOKUP(H12,$A$27:$B$41,2,FALSE)</f>
        <v>-</v>
      </c>
      <c r="I13" t="str">
        <f t="shared" si="6"/>
        <v>Paul Jacob/Ransdel Manuel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536</v>
      </c>
      <c r="C16" s="1" t="s">
        <v>528</v>
      </c>
      <c r="D16" s="1" t="s">
        <v>528</v>
      </c>
      <c r="E16" s="1" t="s">
        <v>29</v>
      </c>
      <c r="F16" s="1" t="s">
        <v>531</v>
      </c>
      <c r="G16" s="30"/>
      <c r="H16" s="1" t="s">
        <v>29</v>
      </c>
      <c r="I16" s="33" t="s">
        <v>29</v>
      </c>
      <c r="J16" s="33" t="s">
        <v>29</v>
      </c>
    </row>
    <row r="17">
      <c r="B17" t="str">
        <f>VLOOKUP(B16,$A$27:$B$41,2,FALSE)</f>
        <v>Sharmilee Acharyya</v>
      </c>
      <c r="C17" t="str">
        <f t="shared" ref="C17:D17" si="7">VLOOKUP(C16,$A$26:$B$41,2,FALSE)</f>
        <v>Priyadarsan Bhual</v>
      </c>
      <c r="D17" t="str">
        <f t="shared" si="7"/>
        <v>Priyadarsan Bhual</v>
      </c>
      <c r="E17" t="str">
        <f t="shared" ref="E17:F17" si="8">VLOOKUP(E16,$A$27:$B$41,2,FALSE)</f>
        <v>-</v>
      </c>
      <c r="F17" t="str">
        <f t="shared" si="8"/>
        <v>Paul Jacob/Ransdel Manuel</v>
      </c>
      <c r="G17" s="30"/>
      <c r="H17" t="str">
        <f t="shared" ref="H17:J17" si="9">VLOOKUP(H16,$A$27:$B$41,2,FALSE)</f>
        <v>-</v>
      </c>
      <c r="I17" t="str">
        <f t="shared" si="9"/>
        <v>-</v>
      </c>
      <c r="J17" t="str">
        <f t="shared" si="9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536</v>
      </c>
      <c r="C20" s="1" t="s">
        <v>29</v>
      </c>
      <c r="D20" s="1" t="s">
        <v>29</v>
      </c>
      <c r="E20" s="1" t="s">
        <v>29</v>
      </c>
      <c r="F20" s="1" t="s">
        <v>29</v>
      </c>
      <c r="G20" s="30"/>
      <c r="H20" s="33" t="s">
        <v>29</v>
      </c>
      <c r="I20" s="33" t="s">
        <v>29</v>
      </c>
      <c r="J20" s="33" t="s">
        <v>29</v>
      </c>
    </row>
    <row r="21" ht="15.75" customHeight="1">
      <c r="B21" t="str">
        <f t="shared" ref="B21:F21" si="10">VLOOKUP(B20,$A$27:$B$41,2,FALSE)</f>
        <v>Sharmilee Acharyya</v>
      </c>
      <c r="C21" t="str">
        <f t="shared" si="10"/>
        <v>-</v>
      </c>
      <c r="D21" t="str">
        <f t="shared" si="10"/>
        <v>-</v>
      </c>
      <c r="E21" t="str">
        <f t="shared" si="10"/>
        <v>-</v>
      </c>
      <c r="F21" t="str">
        <f t="shared" si="10"/>
        <v>-</v>
      </c>
      <c r="G21" s="30"/>
      <c r="H21" s="34" t="str">
        <f t="shared" ref="H21:J21" si="11">VLOOKUP(H20,$A$27:$B$41,2,FALSE)</f>
        <v>-</v>
      </c>
      <c r="I21" s="34" t="str">
        <f t="shared" si="11"/>
        <v>-</v>
      </c>
      <c r="J21" s="34" t="str">
        <f t="shared" si="11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  <c r="E25" s="1" t="s">
        <v>623</v>
      </c>
    </row>
    <row r="26" ht="15.75" customHeight="1">
      <c r="A26" t="s">
        <v>528</v>
      </c>
      <c r="B26" t="s">
        <v>210</v>
      </c>
      <c r="C26">
        <v>6.0</v>
      </c>
      <c r="D26">
        <f t="shared" ref="D26:D34" si="12">$C26-COUNTIF($A$4:$J$21,$A26)</f>
        <v>4</v>
      </c>
      <c r="E26">
        <v>0.0</v>
      </c>
    </row>
    <row r="27" ht="15.75" customHeight="1">
      <c r="A27" t="s">
        <v>538</v>
      </c>
      <c r="B27" t="s">
        <v>66</v>
      </c>
      <c r="C27">
        <v>4.0</v>
      </c>
      <c r="D27">
        <f t="shared" si="12"/>
        <v>4</v>
      </c>
      <c r="E27">
        <v>0.0</v>
      </c>
    </row>
    <row r="28" ht="15.75" customHeight="1">
      <c r="A28" t="s">
        <v>529</v>
      </c>
      <c r="B28" t="s">
        <v>143</v>
      </c>
      <c r="C28">
        <v>6.0</v>
      </c>
      <c r="D28">
        <f t="shared" si="12"/>
        <v>4</v>
      </c>
      <c r="E28">
        <v>1.0</v>
      </c>
    </row>
    <row r="29" ht="15.75" customHeight="1">
      <c r="A29" t="s">
        <v>530</v>
      </c>
      <c r="B29" t="s">
        <v>298</v>
      </c>
      <c r="C29">
        <v>6.0</v>
      </c>
      <c r="D29">
        <f t="shared" si="12"/>
        <v>4</v>
      </c>
      <c r="E29">
        <v>1.0</v>
      </c>
    </row>
    <row r="30" ht="15.75" customHeight="1">
      <c r="A30" t="s">
        <v>537</v>
      </c>
      <c r="B30" t="s">
        <v>61</v>
      </c>
      <c r="C30">
        <v>4.0</v>
      </c>
      <c r="D30">
        <f t="shared" si="12"/>
        <v>2</v>
      </c>
      <c r="E30">
        <v>0.0</v>
      </c>
    </row>
    <row r="31" ht="15.75" customHeight="1">
      <c r="A31" t="s">
        <v>1</v>
      </c>
      <c r="B31" t="s">
        <v>1</v>
      </c>
      <c r="C31">
        <v>1.0</v>
      </c>
      <c r="D31">
        <f t="shared" si="12"/>
        <v>1</v>
      </c>
      <c r="E31">
        <v>0.0</v>
      </c>
    </row>
    <row r="32" ht="15.75" customHeight="1">
      <c r="A32" t="s">
        <v>536</v>
      </c>
      <c r="B32" t="s">
        <v>146</v>
      </c>
      <c r="C32">
        <v>6.0</v>
      </c>
      <c r="D32">
        <f t="shared" si="12"/>
        <v>0</v>
      </c>
      <c r="E32">
        <v>0.0</v>
      </c>
    </row>
    <row r="33" ht="15.75" customHeight="1">
      <c r="A33" t="s">
        <v>546</v>
      </c>
      <c r="B33" t="s">
        <v>371</v>
      </c>
      <c r="C33">
        <v>1.0</v>
      </c>
      <c r="D33">
        <f t="shared" si="12"/>
        <v>0</v>
      </c>
      <c r="E33">
        <v>0.0</v>
      </c>
    </row>
    <row r="34" ht="15.75" customHeight="1">
      <c r="A34" t="s">
        <v>531</v>
      </c>
      <c r="B34" t="s">
        <v>570</v>
      </c>
      <c r="C34">
        <v>3.0</v>
      </c>
      <c r="D34">
        <f t="shared" si="12"/>
        <v>0</v>
      </c>
      <c r="E34">
        <v>0.0</v>
      </c>
    </row>
    <row r="35" ht="15.75" customHeight="1">
      <c r="A35" t="s">
        <v>29</v>
      </c>
      <c r="B35" t="s">
        <v>253</v>
      </c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28">
      <formula1>INDIRECT($A$28)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57"/>
    <col customWidth="1" min="2" max="2" width="22.71"/>
    <col customWidth="1" min="3" max="26" width="8.71"/>
  </cols>
  <sheetData>
    <row r="1">
      <c r="A1" s="2" t="s">
        <v>239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530</v>
      </c>
      <c r="C4" s="1" t="s">
        <v>29</v>
      </c>
      <c r="D4" s="1" t="s">
        <v>536</v>
      </c>
      <c r="E4" s="1" t="s">
        <v>530</v>
      </c>
      <c r="F4" s="1" t="s">
        <v>29</v>
      </c>
      <c r="G4" s="30"/>
      <c r="H4" s="1" t="s">
        <v>29</v>
      </c>
      <c r="I4" s="1" t="s">
        <v>29</v>
      </c>
      <c r="J4" s="1" t="s">
        <v>29</v>
      </c>
    </row>
    <row r="5">
      <c r="B5" t="str">
        <f t="shared" ref="B5:F5" si="1">VLOOKUP(B4,$A$26:$B$41,2,FALSE)</f>
        <v>Thomas Antony</v>
      </c>
      <c r="C5" t="str">
        <f t="shared" si="1"/>
        <v>-</v>
      </c>
      <c r="D5" s="11" t="str">
        <f t="shared" si="1"/>
        <v>Sanchayan K Ray/Thomas Antony/Debarshi Chakraborty</v>
      </c>
      <c r="E5" s="11" t="str">
        <f t="shared" si="1"/>
        <v>Thomas Antony</v>
      </c>
      <c r="F5" s="11" t="str">
        <f t="shared" si="1"/>
        <v>-</v>
      </c>
      <c r="G5" s="30"/>
      <c r="H5" s="11" t="str">
        <f t="shared" ref="H5:J5" si="2">VLOOKUP(H4,$A$26:$B$41,2,FALSE)</f>
        <v>-</v>
      </c>
      <c r="I5" s="11" t="str">
        <f t="shared" si="2"/>
        <v>-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530</v>
      </c>
      <c r="C8" s="1" t="s">
        <v>29</v>
      </c>
      <c r="D8" s="1" t="s">
        <v>29</v>
      </c>
      <c r="E8" s="1" t="s">
        <v>29</v>
      </c>
      <c r="F8" s="1" t="s">
        <v>536</v>
      </c>
      <c r="G8" s="30"/>
      <c r="H8" s="1" t="s">
        <v>29</v>
      </c>
      <c r="I8" s="1" t="s">
        <v>531</v>
      </c>
      <c r="J8" s="1" t="s">
        <v>29</v>
      </c>
    </row>
    <row r="9">
      <c r="B9" t="str">
        <f t="shared" ref="B9:F9" si="3">VLOOKUP(B8,$A$26:$B$41,2,FALSE)</f>
        <v>Thomas Antony</v>
      </c>
      <c r="C9" t="str">
        <f t="shared" si="3"/>
        <v>-</v>
      </c>
      <c r="D9" t="str">
        <f t="shared" si="3"/>
        <v>-</v>
      </c>
      <c r="E9" t="str">
        <f t="shared" si="3"/>
        <v>-</v>
      </c>
      <c r="F9" t="str">
        <f t="shared" si="3"/>
        <v>Sanchayan K Ray/Thomas Antony/Debarshi Chakraborty</v>
      </c>
      <c r="G9" s="30"/>
      <c r="H9" t="str">
        <f t="shared" ref="H9:J9" si="4">VLOOKUP(H8,$A$26:$B$41,2,FALSE)</f>
        <v>-</v>
      </c>
      <c r="I9" t="str">
        <f t="shared" si="4"/>
        <v>Aniket Lawrence Mondal/Ransdel Manuel</v>
      </c>
      <c r="J9" t="str">
        <f t="shared" si="4"/>
        <v>-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530</v>
      </c>
      <c r="C12" s="1" t="s">
        <v>528</v>
      </c>
      <c r="D12" s="1" t="s">
        <v>528</v>
      </c>
      <c r="E12" s="1" t="s">
        <v>29</v>
      </c>
      <c r="F12" s="1" t="s">
        <v>29</v>
      </c>
      <c r="G12" s="30"/>
      <c r="H12" s="1" t="s">
        <v>536</v>
      </c>
      <c r="I12" s="1" t="s">
        <v>531</v>
      </c>
      <c r="J12" s="1" t="s">
        <v>29</v>
      </c>
    </row>
    <row r="13">
      <c r="B13" t="str">
        <f t="shared" ref="B13:F13" si="5">VLOOKUP(B12,$A$26:$B$41,2,FALSE)</f>
        <v>Thomas Antony</v>
      </c>
      <c r="C13" t="str">
        <f t="shared" si="5"/>
        <v>Sampa Saha</v>
      </c>
      <c r="D13" t="str">
        <f t="shared" si="5"/>
        <v>Sampa Saha</v>
      </c>
      <c r="E13" t="str">
        <f t="shared" si="5"/>
        <v>-</v>
      </c>
      <c r="F13" t="str">
        <f t="shared" si="5"/>
        <v>-</v>
      </c>
      <c r="G13" s="30"/>
      <c r="H13" t="str">
        <f t="shared" ref="H13:J13" si="6">VLOOKUP(H12,$A$26:$B$41,2,FALSE)</f>
        <v>Sanchayan K Ray/Thomas Antony/Debarshi Chakraborty</v>
      </c>
      <c r="I13" t="str">
        <f t="shared" si="6"/>
        <v>Aniket Lawrence Mondal/Ransdel Manuel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530</v>
      </c>
      <c r="C16" s="1" t="s">
        <v>529</v>
      </c>
      <c r="D16" s="1" t="s">
        <v>529</v>
      </c>
      <c r="E16" s="1" t="s">
        <v>546</v>
      </c>
      <c r="F16" s="1" t="s">
        <v>531</v>
      </c>
      <c r="G16" s="30"/>
      <c r="H16" s="1" t="s">
        <v>29</v>
      </c>
      <c r="I16" s="1" t="s">
        <v>536</v>
      </c>
      <c r="J16" s="1" t="s">
        <v>536</v>
      </c>
    </row>
    <row r="17">
      <c r="B17" t="str">
        <f t="shared" ref="B17:F17" si="7">VLOOKUP(B16,$A$26:$B$41,2,FALSE)</f>
        <v>Thomas Antony</v>
      </c>
      <c r="C17" t="str">
        <f t="shared" si="7"/>
        <v>Sanjay Gupta</v>
      </c>
      <c r="D17" t="str">
        <f t="shared" si="7"/>
        <v>Sanjay Gupta</v>
      </c>
      <c r="E17" t="str">
        <f t="shared" si="7"/>
        <v>James Badal + Fr.Rector</v>
      </c>
      <c r="F17" t="str">
        <f t="shared" si="7"/>
        <v>Aniket Lawrence Mondal/Ransdel Manuel</v>
      </c>
      <c r="G17" s="30"/>
      <c r="H17" t="str">
        <f t="shared" ref="H17:J17" si="8">VLOOKUP(H16,$A$26:$B$41,2,FALSE)</f>
        <v>-</v>
      </c>
      <c r="I17" t="str">
        <f t="shared" si="8"/>
        <v>Sanchayan K Ray/Thomas Antony/Debarshi Chakraborty</v>
      </c>
      <c r="J17" t="str">
        <f t="shared" si="8"/>
        <v>Sanchayan K Ray/Thomas Antony/Debarshi Chakraborty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530</v>
      </c>
      <c r="C20" s="1" t="s">
        <v>29</v>
      </c>
      <c r="D20" s="1" t="s">
        <v>536</v>
      </c>
      <c r="E20" s="1" t="s">
        <v>29</v>
      </c>
      <c r="F20" s="1" t="s">
        <v>29</v>
      </c>
      <c r="G20" s="30"/>
      <c r="H20" s="33" t="s">
        <v>29</v>
      </c>
      <c r="I20" s="33" t="s">
        <v>29</v>
      </c>
      <c r="J20" s="33" t="s">
        <v>29</v>
      </c>
    </row>
    <row r="21" ht="15.75" customHeight="1">
      <c r="B21" t="str">
        <f t="shared" ref="B21:F21" si="9">VLOOKUP(B20,$A$26:$B$41,2,FALSE)</f>
        <v>Thomas Antony</v>
      </c>
      <c r="C21" t="str">
        <f t="shared" si="9"/>
        <v>-</v>
      </c>
      <c r="D21" t="str">
        <f t="shared" si="9"/>
        <v>Sanchayan K Ray/Thomas Antony/Debarshi Chakraborty</v>
      </c>
      <c r="E21" t="str">
        <f t="shared" si="9"/>
        <v>-</v>
      </c>
      <c r="F21" t="str">
        <f t="shared" si="9"/>
        <v>-</v>
      </c>
      <c r="G21" s="30"/>
      <c r="H21" s="34" t="str">
        <f t="shared" ref="H21:J21" si="10">VLOOKUP(H20,$A$26:$B$41,2,FALSE)</f>
        <v>-</v>
      </c>
      <c r="I21" s="34" t="str">
        <f t="shared" si="10"/>
        <v>-</v>
      </c>
      <c r="J21" s="34" t="str">
        <f t="shared" si="10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  <c r="E25" s="1" t="s">
        <v>623</v>
      </c>
    </row>
    <row r="26" ht="15.75" customHeight="1">
      <c r="A26" t="s">
        <v>538</v>
      </c>
      <c r="B26" t="s">
        <v>61</v>
      </c>
      <c r="C26">
        <v>4.0</v>
      </c>
      <c r="D26">
        <f t="shared" ref="D26:D28" si="11">$C26-COUNTIF($A$4:$J$21,$A26)</f>
        <v>4</v>
      </c>
      <c r="E26">
        <v>0.0</v>
      </c>
    </row>
    <row r="27" ht="17.25" customHeight="1">
      <c r="A27" t="s">
        <v>529</v>
      </c>
      <c r="B27" t="s">
        <v>298</v>
      </c>
      <c r="C27">
        <v>6.0</v>
      </c>
      <c r="D27">
        <f t="shared" si="11"/>
        <v>4</v>
      </c>
      <c r="E27">
        <v>1.0</v>
      </c>
    </row>
    <row r="28" ht="15.75" customHeight="1">
      <c r="A28" t="s">
        <v>528</v>
      </c>
      <c r="B28" t="s">
        <v>196</v>
      </c>
      <c r="C28">
        <v>6.0</v>
      </c>
      <c r="D28">
        <f t="shared" si="11"/>
        <v>4</v>
      </c>
      <c r="E28">
        <v>0.0</v>
      </c>
    </row>
    <row r="29" ht="15.75" customHeight="1">
      <c r="A29" t="s">
        <v>537</v>
      </c>
      <c r="B29" t="s">
        <v>201</v>
      </c>
      <c r="C29">
        <v>4.0</v>
      </c>
      <c r="D29">
        <f>$C29-COUNTIF($A$4:$J$21,$A28)</f>
        <v>2</v>
      </c>
      <c r="E29">
        <v>0.0</v>
      </c>
    </row>
    <row r="30" ht="15.75" customHeight="1">
      <c r="A30" t="s">
        <v>1</v>
      </c>
      <c r="B30" t="s">
        <v>1</v>
      </c>
      <c r="C30">
        <v>1.0</v>
      </c>
      <c r="D30">
        <f t="shared" ref="D30:D34" si="12">$C30-COUNTIF($A$4:$J$21,$A30)</f>
        <v>1</v>
      </c>
      <c r="E30">
        <v>0.0</v>
      </c>
    </row>
    <row r="31" ht="15.75" customHeight="1">
      <c r="A31" t="s">
        <v>530</v>
      </c>
      <c r="B31" t="s">
        <v>355</v>
      </c>
      <c r="C31">
        <v>6.0</v>
      </c>
      <c r="D31">
        <f t="shared" si="12"/>
        <v>0</v>
      </c>
      <c r="E31">
        <v>1.0</v>
      </c>
    </row>
    <row r="32" ht="15.75" customHeight="1">
      <c r="A32" t="s">
        <v>536</v>
      </c>
      <c r="B32" t="s">
        <v>580</v>
      </c>
      <c r="C32">
        <v>6.0</v>
      </c>
      <c r="D32">
        <f t="shared" si="12"/>
        <v>0</v>
      </c>
      <c r="E32">
        <v>0.0</v>
      </c>
    </row>
    <row r="33" ht="15.75" customHeight="1">
      <c r="A33" t="s">
        <v>546</v>
      </c>
      <c r="B33" t="s">
        <v>371</v>
      </c>
      <c r="C33">
        <v>1.0</v>
      </c>
      <c r="D33">
        <f t="shared" si="12"/>
        <v>0</v>
      </c>
      <c r="E33">
        <v>0.0</v>
      </c>
    </row>
    <row r="34" ht="15.75" customHeight="1">
      <c r="A34" t="s">
        <v>531</v>
      </c>
      <c r="B34" t="s">
        <v>574</v>
      </c>
      <c r="C34">
        <v>3.0</v>
      </c>
      <c r="D34">
        <f t="shared" si="12"/>
        <v>0</v>
      </c>
      <c r="E34">
        <v>0.0</v>
      </c>
    </row>
    <row r="35" ht="15.75" customHeight="1">
      <c r="A35" t="s">
        <v>29</v>
      </c>
      <c r="B35" t="s">
        <v>253</v>
      </c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H6">
      <formula1>INDIRECT($H$4)</formula1>
    </dataValidation>
    <dataValidation type="list" allowBlank="1" showErrorMessage="1" sqref="B28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29">
      <formula1>INDIRECT($A$28)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  <dataValidation type="list" allowBlank="1" showErrorMessage="1" sqref="B31">
      <formula1>INDIRECT($A$31)</formula1>
    </dataValidation>
    <dataValidation type="list" allowBlank="1" showErrorMessage="1" sqref="B27">
      <formula1>INDIRECT($A$29)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0.0"/>
    <col customWidth="1" min="3" max="4" width="8.71"/>
    <col customWidth="1" min="5" max="5" width="13.29"/>
    <col customWidth="1" min="6" max="6" width="20.0"/>
    <col customWidth="1" min="7" max="9" width="8.71"/>
    <col customWidth="1" min="10" max="10" width="21.86"/>
    <col customWidth="1" min="11" max="26" width="8.71"/>
  </cols>
  <sheetData>
    <row r="1">
      <c r="A1" s="2" t="s">
        <v>242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528</v>
      </c>
      <c r="C4" s="1" t="s">
        <v>29</v>
      </c>
      <c r="D4" s="1" t="s">
        <v>29</v>
      </c>
      <c r="E4" s="1" t="s">
        <v>532</v>
      </c>
      <c r="F4" s="1" t="s">
        <v>546</v>
      </c>
      <c r="G4" s="30"/>
      <c r="H4" s="1" t="s">
        <v>29</v>
      </c>
      <c r="I4" s="1" t="s">
        <v>536</v>
      </c>
      <c r="J4" s="1" t="s">
        <v>29</v>
      </c>
      <c r="K4" s="1"/>
      <c r="L4" s="1"/>
      <c r="M4" s="1"/>
    </row>
    <row r="5">
      <c r="B5" t="str">
        <f t="shared" ref="B5:F5" si="1">VLOOKUP(B4,$A$27:$B$41,2,FALSE)</f>
        <v>Priyadarsan Bhual</v>
      </c>
      <c r="C5" t="str">
        <f t="shared" si="1"/>
        <v>-</v>
      </c>
      <c r="D5" s="11" t="str">
        <f t="shared" si="1"/>
        <v>-</v>
      </c>
      <c r="E5" s="11" t="str">
        <f t="shared" si="1"/>
        <v>Jaylakshmi Hazra/Ransdel Manuel</v>
      </c>
      <c r="F5" s="11" t="str">
        <f t="shared" si="1"/>
        <v>James Badal + Fr.Rector</v>
      </c>
      <c r="G5" s="30"/>
      <c r="H5" t="str">
        <f t="shared" ref="H5:J5" si="2">VLOOKUP(H4,$A$27:$B$41,2,FALSE)</f>
        <v>-</v>
      </c>
      <c r="I5" t="str">
        <f t="shared" si="2"/>
        <v>Sanchayan K Ray/Sharmilee Acharyya/Aatreyee Choudhary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528</v>
      </c>
      <c r="C8" s="1" t="s">
        <v>29</v>
      </c>
      <c r="D8" s="1" t="s">
        <v>29</v>
      </c>
      <c r="E8" s="1" t="s">
        <v>540</v>
      </c>
      <c r="F8" s="1" t="s">
        <v>540</v>
      </c>
      <c r="G8" s="30"/>
      <c r="H8" s="1" t="s">
        <v>29</v>
      </c>
      <c r="I8" s="1" t="s">
        <v>536</v>
      </c>
      <c r="J8" s="1" t="s">
        <v>532</v>
      </c>
    </row>
    <row r="9">
      <c r="B9" t="str">
        <f t="shared" ref="B9:F9" si="3">VLOOKUP(B8,$A$27:$B$41,2,FALSE)</f>
        <v>Priyadarsan Bhual</v>
      </c>
      <c r="C9" t="str">
        <f t="shared" si="3"/>
        <v>-</v>
      </c>
      <c r="D9" t="str">
        <f t="shared" si="3"/>
        <v>-</v>
      </c>
      <c r="E9" t="str">
        <f t="shared" si="3"/>
        <v>Biswajit Das</v>
      </c>
      <c r="F9" t="str">
        <f t="shared" si="3"/>
        <v>Biswajit Das</v>
      </c>
      <c r="G9" s="30"/>
      <c r="H9" t="str">
        <f t="shared" ref="H9:J9" si="4">VLOOKUP(H8,$A$27:$B$41,2,FALSE)</f>
        <v>-</v>
      </c>
      <c r="I9" t="str">
        <f t="shared" si="4"/>
        <v>Sanchayan K Ray/Sharmilee Acharyya/Aatreyee Choudhary</v>
      </c>
      <c r="J9" t="str">
        <f t="shared" si="4"/>
        <v>Jaylakshmi Hazra/Ransdel Manuel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528</v>
      </c>
      <c r="C12" s="1" t="s">
        <v>29</v>
      </c>
      <c r="D12" s="1" t="s">
        <v>536</v>
      </c>
      <c r="E12" s="1" t="s">
        <v>536</v>
      </c>
      <c r="F12" s="1" t="s">
        <v>29</v>
      </c>
      <c r="G12" s="30"/>
      <c r="H12" s="1" t="s">
        <v>528</v>
      </c>
      <c r="I12" s="1" t="s">
        <v>29</v>
      </c>
      <c r="J12" s="1" t="s">
        <v>29</v>
      </c>
    </row>
    <row r="13">
      <c r="B13" t="str">
        <f t="shared" ref="B13:F13" si="5">VLOOKUP(B12,$A$27:$B$41,2,FALSE)</f>
        <v>Priyadarsan Bhual</v>
      </c>
      <c r="C13" t="str">
        <f t="shared" si="5"/>
        <v>-</v>
      </c>
      <c r="D13" t="str">
        <f t="shared" si="5"/>
        <v>Sanchayan K Ray/Sharmilee Acharyya/Aatreyee Choudhary</v>
      </c>
      <c r="E13" t="str">
        <f t="shared" si="5"/>
        <v>Sanchayan K Ray/Sharmilee Acharyya/Aatreyee Choudhary</v>
      </c>
      <c r="F13" t="str">
        <f t="shared" si="5"/>
        <v>-</v>
      </c>
      <c r="G13" s="30"/>
      <c r="H13" t="str">
        <f t="shared" ref="H13:J13" si="6">VLOOKUP(H12,$A$27:$B$41,2,FALSE)</f>
        <v>Priyadarsan Bhual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528</v>
      </c>
      <c r="C16" s="1" t="s">
        <v>29</v>
      </c>
      <c r="D16" s="1" t="s">
        <v>29</v>
      </c>
      <c r="E16" s="1" t="s">
        <v>539</v>
      </c>
      <c r="F16" s="1" t="s">
        <v>539</v>
      </c>
      <c r="G16" s="30"/>
      <c r="H16" s="1" t="s">
        <v>536</v>
      </c>
      <c r="I16" s="1" t="s">
        <v>29</v>
      </c>
      <c r="J16" s="1" t="s">
        <v>29</v>
      </c>
    </row>
    <row r="17">
      <c r="B17" t="str">
        <f t="shared" ref="B17:D17" si="7">VLOOKUP(B16,$A$27:$B$41,2,FALSE)</f>
        <v>Priyadarsan Bhual</v>
      </c>
      <c r="C17" t="str">
        <f t="shared" si="7"/>
        <v>-</v>
      </c>
      <c r="D17" t="str">
        <f t="shared" si="7"/>
        <v>-</v>
      </c>
      <c r="E17" t="str">
        <f t="shared" ref="E17:F17" si="8">VLOOKUP(E16,$A$26:$B$41,2,FALSE)</f>
        <v>Abirlal Chatterjee</v>
      </c>
      <c r="F17" t="str">
        <f t="shared" si="8"/>
        <v>Abirlal Chatterjee</v>
      </c>
      <c r="G17" s="30"/>
      <c r="H17" t="str">
        <f t="shared" ref="H17:J17" si="9">VLOOKUP(H16,$A$27:$B$41,2,FALSE)</f>
        <v>Sanchayan K Ray/Sharmilee Acharyya/Aatreyee Choudhary</v>
      </c>
      <c r="I17" t="str">
        <f t="shared" si="9"/>
        <v>-</v>
      </c>
      <c r="J17" t="str">
        <f t="shared" si="9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528</v>
      </c>
      <c r="C20" s="1" t="s">
        <v>536</v>
      </c>
      <c r="D20" s="1" t="s">
        <v>29</v>
      </c>
      <c r="E20" s="1" t="s">
        <v>29</v>
      </c>
      <c r="F20" s="1" t="s">
        <v>532</v>
      </c>
      <c r="G20" s="30"/>
      <c r="H20" s="33" t="s">
        <v>29</v>
      </c>
      <c r="I20" s="33" t="s">
        <v>29</v>
      </c>
      <c r="J20" s="33" t="s">
        <v>29</v>
      </c>
    </row>
    <row r="21" ht="15.75" customHeight="1">
      <c r="B21" t="str">
        <f t="shared" ref="B21:F21" si="10">VLOOKUP(B20,$A$27:$B$41,2,FALSE)</f>
        <v>Priyadarsan Bhual</v>
      </c>
      <c r="C21" t="str">
        <f t="shared" si="10"/>
        <v>Sanchayan K Ray/Sharmilee Acharyya/Aatreyee Choudhary</v>
      </c>
      <c r="D21" t="str">
        <f t="shared" si="10"/>
        <v>-</v>
      </c>
      <c r="E21" t="str">
        <f t="shared" si="10"/>
        <v>-</v>
      </c>
      <c r="F21" t="str">
        <f t="shared" si="10"/>
        <v>Jaylakshmi Hazra/Ransdel Manuel</v>
      </c>
      <c r="G21" s="30"/>
      <c r="H21" s="34" t="str">
        <f t="shared" ref="H21:J21" si="11">VLOOKUP(H20,$A$27:$B$41,2,FALSE)</f>
        <v>-</v>
      </c>
      <c r="I21" s="34" t="str">
        <f t="shared" si="11"/>
        <v>-</v>
      </c>
      <c r="J21" s="34" t="str">
        <f t="shared" si="11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  <c r="E25" s="1" t="s">
        <v>623</v>
      </c>
    </row>
    <row r="26" ht="15.75" customHeight="1">
      <c r="A26" t="s">
        <v>539</v>
      </c>
      <c r="B26" t="s">
        <v>25</v>
      </c>
      <c r="C26">
        <v>6.0</v>
      </c>
      <c r="D26">
        <f t="shared" ref="D26:D34" si="12">$C26-COUNTIF($A$4:$J$21,$A26)</f>
        <v>4</v>
      </c>
      <c r="E26">
        <v>1.0</v>
      </c>
    </row>
    <row r="27" ht="15.75" customHeight="1">
      <c r="A27" t="s">
        <v>540</v>
      </c>
      <c r="B27" t="s">
        <v>72</v>
      </c>
      <c r="C27">
        <v>6.0</v>
      </c>
      <c r="D27">
        <f t="shared" si="12"/>
        <v>4</v>
      </c>
      <c r="E27">
        <v>1.0</v>
      </c>
    </row>
    <row r="28" ht="15.75" customHeight="1">
      <c r="A28" t="s">
        <v>538</v>
      </c>
      <c r="B28" t="s">
        <v>201</v>
      </c>
      <c r="C28">
        <v>4.0</v>
      </c>
      <c r="D28">
        <f t="shared" si="12"/>
        <v>4</v>
      </c>
      <c r="E28">
        <v>0.0</v>
      </c>
    </row>
    <row r="29" ht="15.75" customHeight="1">
      <c r="A29" t="s">
        <v>537</v>
      </c>
      <c r="B29" t="s">
        <v>321</v>
      </c>
      <c r="C29">
        <v>4.0</v>
      </c>
      <c r="D29">
        <f t="shared" si="12"/>
        <v>4</v>
      </c>
      <c r="E29">
        <v>0.0</v>
      </c>
    </row>
    <row r="30" ht="15.75" customHeight="1">
      <c r="A30" t="s">
        <v>1</v>
      </c>
      <c r="B30" t="s">
        <v>1</v>
      </c>
      <c r="C30">
        <v>1.0</v>
      </c>
      <c r="D30">
        <f t="shared" si="12"/>
        <v>1</v>
      </c>
      <c r="E30">
        <v>0.0</v>
      </c>
    </row>
    <row r="31" ht="15.75" customHeight="1">
      <c r="A31" t="s">
        <v>536</v>
      </c>
      <c r="B31" t="s">
        <v>624</v>
      </c>
      <c r="C31">
        <v>6.0</v>
      </c>
      <c r="D31">
        <f t="shared" si="12"/>
        <v>0</v>
      </c>
      <c r="E31">
        <v>0.0</v>
      </c>
    </row>
    <row r="32" ht="15.75" customHeight="1">
      <c r="A32" t="s">
        <v>528</v>
      </c>
      <c r="B32" t="s">
        <v>210</v>
      </c>
      <c r="C32">
        <v>6.0</v>
      </c>
      <c r="D32">
        <f t="shared" si="12"/>
        <v>0</v>
      </c>
      <c r="E32">
        <v>0.0</v>
      </c>
    </row>
    <row r="33" ht="15.75" customHeight="1">
      <c r="A33" t="s">
        <v>546</v>
      </c>
      <c r="B33" t="s">
        <v>371</v>
      </c>
      <c r="C33">
        <v>1.0</v>
      </c>
      <c r="D33">
        <f t="shared" si="12"/>
        <v>0</v>
      </c>
      <c r="E33">
        <v>0.0</v>
      </c>
    </row>
    <row r="34" ht="15.75" customHeight="1">
      <c r="A34" t="s">
        <v>532</v>
      </c>
      <c r="B34" t="s">
        <v>559</v>
      </c>
      <c r="C34">
        <v>3.0</v>
      </c>
      <c r="D34">
        <f t="shared" si="12"/>
        <v>0</v>
      </c>
      <c r="E34">
        <v>0.0</v>
      </c>
    </row>
    <row r="35" ht="15.75" customHeight="1">
      <c r="A35" t="s">
        <v>29</v>
      </c>
      <c r="B35" t="s">
        <v>253</v>
      </c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28">
      <formula1>INDIRECT($A$28)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1.0"/>
    <col customWidth="1" min="3" max="26" width="8.71"/>
  </cols>
  <sheetData>
    <row r="1">
      <c r="A1" s="2" t="s">
        <v>245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539</v>
      </c>
      <c r="C4" s="1" t="s">
        <v>29</v>
      </c>
      <c r="D4" s="1" t="s">
        <v>537</v>
      </c>
      <c r="E4" s="1" t="s">
        <v>532</v>
      </c>
      <c r="F4" s="1" t="s">
        <v>29</v>
      </c>
      <c r="G4" s="30"/>
      <c r="H4" s="1" t="s">
        <v>537</v>
      </c>
      <c r="I4" s="1" t="s">
        <v>536</v>
      </c>
      <c r="J4" s="1" t="s">
        <v>29</v>
      </c>
    </row>
    <row r="5">
      <c r="B5" t="str">
        <f t="shared" ref="B5:E5" si="1">VLOOKUP(B4,$A$27:$B$42,2,FALSE)</f>
        <v>Srabani Dhar</v>
      </c>
      <c r="C5" t="str">
        <f t="shared" si="1"/>
        <v>-</v>
      </c>
      <c r="D5" s="11" t="str">
        <f t="shared" si="1"/>
        <v>Anupam Banerjee</v>
      </c>
      <c r="E5" s="11" t="str">
        <f t="shared" si="1"/>
        <v>Jaylakshmi Hazra/Ransdel Manuel</v>
      </c>
      <c r="F5" s="11" t="str">
        <f>VLOOKUP(F4,$A$26:$B$42,2,FALSE)</f>
        <v>-</v>
      </c>
      <c r="G5" s="30"/>
      <c r="H5" t="str">
        <f t="shared" ref="H5:J5" si="2">VLOOKUP(H4,$A$27:$B$42,2,FALSE)</f>
        <v>Anupam Banerjee</v>
      </c>
      <c r="I5" t="str">
        <f t="shared" si="2"/>
        <v>Sanchayan K Ray/Sharmilee Acharyya/Aatreyee Choudhary</v>
      </c>
      <c r="J5" t="str">
        <f t="shared" si="2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539</v>
      </c>
      <c r="C8" s="1" t="s">
        <v>528</v>
      </c>
      <c r="D8" s="1" t="s">
        <v>29</v>
      </c>
      <c r="E8" s="1" t="s">
        <v>29</v>
      </c>
      <c r="F8" s="1" t="s">
        <v>546</v>
      </c>
      <c r="G8" s="30"/>
      <c r="H8" s="1" t="s">
        <v>528</v>
      </c>
      <c r="I8" s="1" t="s">
        <v>536</v>
      </c>
      <c r="J8" s="1" t="s">
        <v>532</v>
      </c>
    </row>
    <row r="9">
      <c r="B9" t="str">
        <f>VLOOKUP(B8,$A$27:$B$42,2,FALSE)</f>
        <v>Srabani Dhar</v>
      </c>
      <c r="C9" t="str">
        <f t="shared" ref="C9:E9" si="3">VLOOKUP(C8,$A$26:$B$42,2,FALSE)</f>
        <v>Sampa Saha</v>
      </c>
      <c r="D9" t="str">
        <f t="shared" si="3"/>
        <v>-</v>
      </c>
      <c r="E9" t="str">
        <f t="shared" si="3"/>
        <v>-</v>
      </c>
      <c r="F9" t="str">
        <f>VLOOKUP(F8,$A$27:$B$42,2,FALSE)</f>
        <v>James Badal + Fr.Rector</v>
      </c>
      <c r="G9" s="30"/>
      <c r="H9" t="str">
        <f>VLOOKUP(H8,$A$26:$B$42,2,FALSE)</f>
        <v>Sampa Saha</v>
      </c>
      <c r="I9" t="str">
        <f t="shared" ref="I9:J9" si="4">VLOOKUP(I8,$A$27:$B$42,2,FALSE)</f>
        <v>Sanchayan K Ray/Sharmilee Acharyya/Aatreyee Choudhary</v>
      </c>
      <c r="J9" t="str">
        <f t="shared" si="4"/>
        <v>Jaylakshmi Hazra/Ransdel Manuel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29</v>
      </c>
      <c r="C12" s="1" t="s">
        <v>29</v>
      </c>
      <c r="D12" s="1" t="s">
        <v>536</v>
      </c>
      <c r="E12" s="1" t="s">
        <v>536</v>
      </c>
      <c r="F12" s="1" t="s">
        <v>29</v>
      </c>
      <c r="G12" s="30"/>
      <c r="H12" s="1" t="s">
        <v>29</v>
      </c>
      <c r="I12" s="1" t="s">
        <v>539</v>
      </c>
      <c r="J12" s="1" t="s">
        <v>539</v>
      </c>
    </row>
    <row r="13">
      <c r="B13" t="str">
        <f>VLOOKUP(B12,$A$27:$B$42,2,FALSE)</f>
        <v>-</v>
      </c>
      <c r="C13" t="str">
        <f>VLOOKUP(C12,$A$26:$B$42,2,FALSE)</f>
        <v>-</v>
      </c>
      <c r="D13" t="str">
        <f t="shared" ref="D13:F13" si="5">VLOOKUP(D12,$A$27:$B$42,2,FALSE)</f>
        <v>Sanchayan K Ray/Sharmilee Acharyya/Aatreyee Choudhary</v>
      </c>
      <c r="E13" t="str">
        <f t="shared" si="5"/>
        <v>Sanchayan K Ray/Sharmilee Acharyya/Aatreyee Choudhary</v>
      </c>
      <c r="F13" t="str">
        <f t="shared" si="5"/>
        <v>-</v>
      </c>
      <c r="G13" s="30"/>
      <c r="H13" t="str">
        <f t="shared" ref="H13:J13" si="6">VLOOKUP(H12,$A$27:$B$42,2,FALSE)</f>
        <v>-</v>
      </c>
      <c r="I13" t="str">
        <f t="shared" si="6"/>
        <v>Srabani Dhar</v>
      </c>
      <c r="J13" t="str">
        <f t="shared" si="6"/>
        <v>Srabani Dhar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539</v>
      </c>
      <c r="C16" s="1" t="s">
        <v>538</v>
      </c>
      <c r="D16" s="1" t="s">
        <v>540</v>
      </c>
      <c r="E16" s="1" t="s">
        <v>540</v>
      </c>
      <c r="F16" s="1" t="s">
        <v>29</v>
      </c>
      <c r="G16" s="30"/>
      <c r="H16" s="1" t="s">
        <v>536</v>
      </c>
      <c r="I16" s="1" t="s">
        <v>29</v>
      </c>
      <c r="J16" s="1" t="s">
        <v>538</v>
      </c>
    </row>
    <row r="17">
      <c r="B17" t="str">
        <f t="shared" ref="B17:F17" si="7">VLOOKUP(B16,$A$27:$B$42,2,FALSE)</f>
        <v>Srabani Dhar</v>
      </c>
      <c r="C17" t="str">
        <f t="shared" si="7"/>
        <v>Annu Dhall</v>
      </c>
      <c r="D17" t="str">
        <f t="shared" si="7"/>
        <v>Partha Pratim Lahiri</v>
      </c>
      <c r="E17" t="str">
        <f t="shared" si="7"/>
        <v>Partha Pratim Lahiri</v>
      </c>
      <c r="F17" t="str">
        <f t="shared" si="7"/>
        <v>-</v>
      </c>
      <c r="G17" s="30"/>
      <c r="H17" t="str">
        <f>VLOOKUP(H16,$A$27:$B$42,2,FALSE)</f>
        <v>Sanchayan K Ray/Sharmilee Acharyya/Aatreyee Choudhary</v>
      </c>
      <c r="I17" t="str">
        <f>VLOOKUP(I16,$A$26:$B$42,2,FALSE)</f>
        <v>-</v>
      </c>
      <c r="J17" t="str">
        <f>VLOOKUP(J16,$A$27:$B$42,2,FALSE)</f>
        <v>Annu Dhall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539</v>
      </c>
      <c r="C20" s="1" t="s">
        <v>536</v>
      </c>
      <c r="D20" s="1" t="s">
        <v>29</v>
      </c>
      <c r="E20" s="1" t="s">
        <v>29</v>
      </c>
      <c r="F20" s="1" t="s">
        <v>532</v>
      </c>
      <c r="G20" s="30"/>
      <c r="H20" s="33" t="s">
        <v>29</v>
      </c>
      <c r="I20" s="33" t="s">
        <v>29</v>
      </c>
      <c r="J20" s="33" t="s">
        <v>29</v>
      </c>
    </row>
    <row r="21" ht="15.75" customHeight="1">
      <c r="B21" t="str">
        <f t="shared" ref="B21:D21" si="8">VLOOKUP(B20,$A$27:$B$42,2,FALSE)</f>
        <v>Srabani Dhar</v>
      </c>
      <c r="C21" t="str">
        <f t="shared" si="8"/>
        <v>Sanchayan K Ray/Sharmilee Acharyya/Aatreyee Choudhary</v>
      </c>
      <c r="D21" t="str">
        <f t="shared" si="8"/>
        <v>-</v>
      </c>
      <c r="E21" t="str">
        <f>VLOOKUP(E20,$A$26:$B$42,2,FALSE)</f>
        <v>-</v>
      </c>
      <c r="F21" t="str">
        <f>VLOOKUP(F20,$A$27:$B$42,2,FALSE)</f>
        <v>Jaylakshmi Hazra/Ransdel Manuel</v>
      </c>
      <c r="G21" s="30"/>
      <c r="H21" s="34" t="str">
        <f t="shared" ref="H21:J21" si="9">VLOOKUP(H20,$A$27:$B$42,2,FALSE)</f>
        <v>-</v>
      </c>
      <c r="I21" s="34" t="str">
        <f t="shared" si="9"/>
        <v>-</v>
      </c>
      <c r="J21" s="34" t="str">
        <f t="shared" si="9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  <c r="E25" s="1" t="s">
        <v>623</v>
      </c>
    </row>
    <row r="26" ht="15.75" customHeight="1">
      <c r="A26" t="s">
        <v>528</v>
      </c>
      <c r="B26" t="s">
        <v>196</v>
      </c>
      <c r="C26">
        <v>6.0</v>
      </c>
      <c r="D26">
        <f t="shared" ref="D26:D34" si="10">$C26-COUNTIF($A$4:$J$21,$A26)</f>
        <v>4</v>
      </c>
      <c r="E26">
        <v>1.0</v>
      </c>
    </row>
    <row r="27" ht="15.75" customHeight="1">
      <c r="A27" t="s">
        <v>540</v>
      </c>
      <c r="B27" t="s">
        <v>176</v>
      </c>
      <c r="C27">
        <v>6.0</v>
      </c>
      <c r="D27">
        <f t="shared" si="10"/>
        <v>4</v>
      </c>
      <c r="E27">
        <v>0.0</v>
      </c>
    </row>
    <row r="28" ht="15.75" customHeight="1">
      <c r="A28" t="s">
        <v>538</v>
      </c>
      <c r="B28" t="s">
        <v>61</v>
      </c>
      <c r="C28">
        <v>4.0</v>
      </c>
      <c r="D28">
        <f t="shared" si="10"/>
        <v>2</v>
      </c>
      <c r="E28">
        <v>0.0</v>
      </c>
    </row>
    <row r="29" ht="15.75" customHeight="1">
      <c r="A29" t="s">
        <v>537</v>
      </c>
      <c r="B29" t="s">
        <v>66</v>
      </c>
      <c r="C29">
        <v>4.0</v>
      </c>
      <c r="D29">
        <f t="shared" si="10"/>
        <v>2</v>
      </c>
      <c r="E29">
        <v>0.0</v>
      </c>
    </row>
    <row r="30" ht="15.75" customHeight="1">
      <c r="A30" t="s">
        <v>536</v>
      </c>
      <c r="B30" t="s">
        <v>624</v>
      </c>
      <c r="C30">
        <v>6.0</v>
      </c>
      <c r="D30">
        <f t="shared" si="10"/>
        <v>0</v>
      </c>
      <c r="E30">
        <v>0.0</v>
      </c>
    </row>
    <row r="31" ht="15.75" customHeight="1">
      <c r="A31" t="s">
        <v>1</v>
      </c>
      <c r="B31" t="s">
        <v>1</v>
      </c>
      <c r="C31">
        <v>1.0</v>
      </c>
      <c r="D31">
        <f t="shared" si="10"/>
        <v>1</v>
      </c>
      <c r="E31">
        <v>0.0</v>
      </c>
    </row>
    <row r="32" ht="15.75" customHeight="1">
      <c r="A32" t="s">
        <v>546</v>
      </c>
      <c r="B32" t="s">
        <v>371</v>
      </c>
      <c r="C32">
        <v>1.0</v>
      </c>
      <c r="D32">
        <f t="shared" si="10"/>
        <v>0</v>
      </c>
      <c r="E32">
        <v>0.0</v>
      </c>
    </row>
    <row r="33" ht="15.75" customHeight="1">
      <c r="A33" t="s">
        <v>539</v>
      </c>
      <c r="B33" t="s">
        <v>328</v>
      </c>
      <c r="C33">
        <v>6.0</v>
      </c>
      <c r="D33">
        <f t="shared" si="10"/>
        <v>0</v>
      </c>
      <c r="E33">
        <v>1.0</v>
      </c>
    </row>
    <row r="34" ht="15.75" customHeight="1">
      <c r="A34" t="s">
        <v>532</v>
      </c>
      <c r="B34" t="s">
        <v>559</v>
      </c>
      <c r="C34">
        <v>3.0</v>
      </c>
      <c r="D34">
        <f t="shared" si="10"/>
        <v>0</v>
      </c>
      <c r="E34">
        <v>0.0</v>
      </c>
    </row>
    <row r="35" ht="15.75" customHeight="1">
      <c r="A35" t="s">
        <v>29</v>
      </c>
      <c r="B35" t="s">
        <v>253</v>
      </c>
      <c r="C35">
        <f>SUM(C26:C34)</f>
        <v>37</v>
      </c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5:B36">
      <formula1>INDIRECT($A$36)</formula1>
    </dataValidation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28">
      <formula1>INDIRECT($A$28)</formula1>
    </dataValidation>
    <dataValidation type="list" allowBlank="1" showErrorMessage="1" sqref="B26">
      <formula1>INDIRECT($A$26)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2.71"/>
    <col customWidth="1" min="3" max="5" width="8.71"/>
    <col customWidth="1" min="6" max="6" width="13.0"/>
    <col customWidth="1" min="7" max="26" width="8.71"/>
  </cols>
  <sheetData>
    <row r="1">
      <c r="A1" s="2" t="s">
        <v>249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528</v>
      </c>
      <c r="C4" s="1" t="s">
        <v>536</v>
      </c>
      <c r="D4" s="1" t="s">
        <v>29</v>
      </c>
      <c r="E4" s="1" t="s">
        <v>531</v>
      </c>
      <c r="F4" s="1" t="s">
        <v>538</v>
      </c>
      <c r="G4" s="30"/>
      <c r="H4" s="1" t="s">
        <v>29</v>
      </c>
      <c r="I4" s="1" t="s">
        <v>29</v>
      </c>
      <c r="J4" s="1" t="s">
        <v>538</v>
      </c>
    </row>
    <row r="5">
      <c r="B5" t="str">
        <f t="shared" ref="B5:F5" si="1">VLOOKUP(B4,$A$26:$B$41,2,FALSE)</f>
        <v>Sunita Nair</v>
      </c>
      <c r="C5" t="str">
        <f t="shared" si="1"/>
        <v>Thomas Antony</v>
      </c>
      <c r="D5" s="11" t="str">
        <f t="shared" si="1"/>
        <v>-</v>
      </c>
      <c r="E5" s="11" t="str">
        <f t="shared" si="1"/>
        <v>Sharmilee Acharyya/Ransdel Manuel</v>
      </c>
      <c r="F5" s="11" t="str">
        <f t="shared" si="1"/>
        <v>Soma Das</v>
      </c>
      <c r="G5" s="30"/>
      <c r="H5" t="str">
        <f t="shared" ref="H5:J5" si="2">VLOOKUP(H4,$A$26:$B$41,2,FALSE)</f>
        <v>-</v>
      </c>
      <c r="I5" t="str">
        <f t="shared" si="2"/>
        <v>-</v>
      </c>
      <c r="J5" t="str">
        <f t="shared" si="2"/>
        <v>Soma Das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528</v>
      </c>
      <c r="C8" s="1" t="s">
        <v>29</v>
      </c>
      <c r="D8" s="1" t="s">
        <v>29</v>
      </c>
      <c r="E8" s="1" t="s">
        <v>530</v>
      </c>
      <c r="F8" s="1" t="s">
        <v>29</v>
      </c>
      <c r="G8" s="30"/>
      <c r="H8" s="1" t="s">
        <v>530</v>
      </c>
      <c r="I8" s="1" t="s">
        <v>536</v>
      </c>
      <c r="J8" s="1" t="s">
        <v>531</v>
      </c>
    </row>
    <row r="9">
      <c r="B9" t="str">
        <f t="shared" ref="B9:F9" si="3">VLOOKUP(B8,$A$26:$B$41,2,FALSE)</f>
        <v>Sunita Nair</v>
      </c>
      <c r="C9" t="str">
        <f t="shared" si="3"/>
        <v>-</v>
      </c>
      <c r="D9" t="str">
        <f t="shared" si="3"/>
        <v>-</v>
      </c>
      <c r="E9" t="str">
        <f t="shared" si="3"/>
        <v>Sanjay Gupta</v>
      </c>
      <c r="F9" t="str">
        <f t="shared" si="3"/>
        <v>-</v>
      </c>
      <c r="G9" s="30"/>
      <c r="H9" t="str">
        <f t="shared" ref="H9:J9" si="4">VLOOKUP(H8,$A$26:$B$41,2,FALSE)</f>
        <v>Sanjay Gupta</v>
      </c>
      <c r="I9" t="str">
        <f t="shared" si="4"/>
        <v>Thomas Antony</v>
      </c>
      <c r="J9" t="str">
        <f t="shared" si="4"/>
        <v>Sharmilee Acharyya/Ransdel Manuel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528</v>
      </c>
      <c r="C12" s="1" t="s">
        <v>29</v>
      </c>
      <c r="D12" s="1" t="s">
        <v>536</v>
      </c>
      <c r="E12" s="1" t="s">
        <v>536</v>
      </c>
      <c r="F12" s="1" t="s">
        <v>29</v>
      </c>
      <c r="G12" s="30"/>
      <c r="H12" s="1" t="s">
        <v>528</v>
      </c>
      <c r="I12" s="1" t="s">
        <v>29</v>
      </c>
      <c r="J12" s="1" t="s">
        <v>29</v>
      </c>
    </row>
    <row r="13">
      <c r="B13" t="str">
        <f t="shared" ref="B13:F13" si="5">VLOOKUP(B12,$A$26:$B$41,2,FALSE)</f>
        <v>Sunita Nair</v>
      </c>
      <c r="C13" t="str">
        <f t="shared" si="5"/>
        <v>-</v>
      </c>
      <c r="D13" t="str">
        <f t="shared" si="5"/>
        <v>Thomas Antony</v>
      </c>
      <c r="E13" t="str">
        <f t="shared" si="5"/>
        <v>Thomas Antony</v>
      </c>
      <c r="F13" t="str">
        <f t="shared" si="5"/>
        <v>-</v>
      </c>
      <c r="G13" s="30"/>
      <c r="H13" t="str">
        <f t="shared" ref="H13:J13" si="6">VLOOKUP(H12,$A$26:$B$41,2,FALSE)</f>
        <v>Sunita Nair</v>
      </c>
      <c r="I13" t="str">
        <f t="shared" si="6"/>
        <v>-</v>
      </c>
      <c r="J13" t="str">
        <f t="shared" si="6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528</v>
      </c>
      <c r="C16" s="1" t="s">
        <v>29</v>
      </c>
      <c r="D16" s="1" t="s">
        <v>546</v>
      </c>
      <c r="E16" s="1" t="s">
        <v>529</v>
      </c>
      <c r="F16" s="1" t="s">
        <v>529</v>
      </c>
      <c r="G16" s="30"/>
      <c r="H16" s="1" t="s">
        <v>536</v>
      </c>
      <c r="I16" s="33" t="s">
        <v>29</v>
      </c>
      <c r="J16" s="1" t="s">
        <v>29</v>
      </c>
    </row>
    <row r="17">
      <c r="B17" t="str">
        <f t="shared" ref="B17:F17" si="7">VLOOKUP(B16,$A$26:$B$41,2,FALSE)</f>
        <v>Sunita Nair</v>
      </c>
      <c r="C17" t="str">
        <f t="shared" si="7"/>
        <v>-</v>
      </c>
      <c r="D17" t="str">
        <f t="shared" si="7"/>
        <v>James Badal + Fr.Rector</v>
      </c>
      <c r="E17" t="str">
        <f t="shared" si="7"/>
        <v>Mathew Sam</v>
      </c>
      <c r="F17" t="str">
        <f t="shared" si="7"/>
        <v>Mathew Sam</v>
      </c>
      <c r="G17" s="30"/>
      <c r="H17" t="str">
        <f t="shared" ref="H17:J17" si="8">VLOOKUP(H16,$A$26:$B$41,2,FALSE)</f>
        <v>Thomas Antony</v>
      </c>
      <c r="I17" t="str">
        <f t="shared" si="8"/>
        <v>-</v>
      </c>
      <c r="J17" t="str">
        <f t="shared" si="8"/>
        <v>-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528</v>
      </c>
      <c r="C20" s="1" t="s">
        <v>530</v>
      </c>
      <c r="D20" s="1" t="s">
        <v>529</v>
      </c>
      <c r="E20" s="1" t="s">
        <v>536</v>
      </c>
      <c r="F20" s="1" t="s">
        <v>531</v>
      </c>
      <c r="G20" s="30"/>
      <c r="H20" s="33" t="s">
        <v>29</v>
      </c>
      <c r="I20" s="33" t="s">
        <v>29</v>
      </c>
      <c r="J20" s="33" t="s">
        <v>29</v>
      </c>
    </row>
    <row r="21" ht="15.75" customHeight="1">
      <c r="B21" t="str">
        <f t="shared" ref="B21:F21" si="9">VLOOKUP(B20,$A$26:$B$41,2,FALSE)</f>
        <v>Sunita Nair</v>
      </c>
      <c r="C21" t="str">
        <f t="shared" si="9"/>
        <v>Sanjay Gupta</v>
      </c>
      <c r="D21" t="str">
        <f t="shared" si="9"/>
        <v>Mathew Sam</v>
      </c>
      <c r="E21" t="str">
        <f t="shared" si="9"/>
        <v>Thomas Antony</v>
      </c>
      <c r="F21" t="str">
        <f t="shared" si="9"/>
        <v>Sharmilee Acharyya/Ransdel Manuel</v>
      </c>
      <c r="G21" s="30"/>
      <c r="H21" s="34" t="str">
        <f t="shared" ref="H21:J21" si="10">VLOOKUP(H20,$A$26:$B$41,2,FALSE)</f>
        <v>-</v>
      </c>
      <c r="I21" s="34" t="str">
        <f t="shared" si="10"/>
        <v>-</v>
      </c>
      <c r="J21" s="34" t="str">
        <f t="shared" si="10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  <c r="E25" s="1" t="s">
        <v>623</v>
      </c>
    </row>
    <row r="26" ht="15.75" customHeight="1">
      <c r="A26" t="s">
        <v>529</v>
      </c>
      <c r="B26" t="s">
        <v>143</v>
      </c>
      <c r="C26">
        <v>6.0</v>
      </c>
      <c r="D26">
        <f t="shared" ref="D26:D34" si="11">$C26-COUNTIF($A$4:$J$21,$A26)</f>
        <v>3</v>
      </c>
      <c r="E26">
        <v>1.0</v>
      </c>
    </row>
    <row r="27" ht="15.75" customHeight="1">
      <c r="A27" t="s">
        <v>537</v>
      </c>
      <c r="B27" t="s">
        <v>61</v>
      </c>
      <c r="C27">
        <v>4.0</v>
      </c>
      <c r="D27">
        <f t="shared" si="11"/>
        <v>4</v>
      </c>
      <c r="E27">
        <v>0.0</v>
      </c>
    </row>
    <row r="28" ht="15.75" customHeight="1">
      <c r="A28" t="s">
        <v>530</v>
      </c>
      <c r="B28" t="s">
        <v>298</v>
      </c>
      <c r="C28">
        <v>6.0</v>
      </c>
      <c r="D28">
        <f t="shared" si="11"/>
        <v>3</v>
      </c>
      <c r="E28">
        <v>1.0</v>
      </c>
    </row>
    <row r="29" ht="15.75" customHeight="1">
      <c r="A29" t="s">
        <v>538</v>
      </c>
      <c r="B29" t="s">
        <v>321</v>
      </c>
      <c r="C29">
        <v>4.0</v>
      </c>
      <c r="D29">
        <f t="shared" si="11"/>
        <v>2</v>
      </c>
      <c r="E29">
        <v>0.0</v>
      </c>
    </row>
    <row r="30" ht="15.75" customHeight="1">
      <c r="A30" t="s">
        <v>536</v>
      </c>
      <c r="B30" t="s">
        <v>355</v>
      </c>
      <c r="C30">
        <v>6.0</v>
      </c>
      <c r="D30">
        <f t="shared" si="11"/>
        <v>0</v>
      </c>
      <c r="E30">
        <v>0.0</v>
      </c>
    </row>
    <row r="31" ht="15.75" customHeight="1">
      <c r="A31" t="s">
        <v>1</v>
      </c>
      <c r="B31" t="s">
        <v>1</v>
      </c>
      <c r="C31">
        <v>1.0</v>
      </c>
      <c r="D31">
        <f t="shared" si="11"/>
        <v>1</v>
      </c>
      <c r="E31">
        <v>0.0</v>
      </c>
    </row>
    <row r="32" ht="15.75" customHeight="1">
      <c r="A32" t="s">
        <v>528</v>
      </c>
      <c r="B32" t="s">
        <v>350</v>
      </c>
      <c r="C32">
        <v>6.0</v>
      </c>
      <c r="D32">
        <f t="shared" si="11"/>
        <v>0</v>
      </c>
      <c r="E32">
        <v>0.0</v>
      </c>
    </row>
    <row r="33" ht="15.75" customHeight="1">
      <c r="A33" t="s">
        <v>546</v>
      </c>
      <c r="B33" t="s">
        <v>371</v>
      </c>
      <c r="C33">
        <v>1.0</v>
      </c>
      <c r="D33">
        <f t="shared" si="11"/>
        <v>0</v>
      </c>
      <c r="E33">
        <v>0.0</v>
      </c>
    </row>
    <row r="34" ht="15.75" customHeight="1">
      <c r="A34" t="s">
        <v>531</v>
      </c>
      <c r="B34" t="s">
        <v>558</v>
      </c>
      <c r="C34">
        <v>3.0</v>
      </c>
      <c r="D34">
        <f t="shared" si="11"/>
        <v>0</v>
      </c>
      <c r="E34">
        <v>0.0</v>
      </c>
    </row>
    <row r="35" ht="15.75" customHeight="1">
      <c r="A35" t="s">
        <v>29</v>
      </c>
      <c r="B35" t="s">
        <v>253</v>
      </c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28">
      <formula1>INDIRECT($A$28)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6.43"/>
    <col customWidth="1" min="3" max="26" width="8.71"/>
  </cols>
  <sheetData>
    <row r="1">
      <c r="A1" s="2" t="s">
        <v>251</v>
      </c>
      <c r="G1" s="30"/>
    </row>
    <row r="2">
      <c r="B2" s="1" t="s">
        <v>4</v>
      </c>
      <c r="C2" s="1" t="s">
        <v>5</v>
      </c>
      <c r="D2" s="1" t="s">
        <v>7</v>
      </c>
      <c r="E2" s="1" t="s">
        <v>8</v>
      </c>
      <c r="F2" s="1" t="s">
        <v>9</v>
      </c>
      <c r="G2" s="30"/>
      <c r="H2" s="1" t="s">
        <v>13</v>
      </c>
      <c r="I2" s="1" t="s">
        <v>15</v>
      </c>
      <c r="J2" s="1" t="s">
        <v>16</v>
      </c>
    </row>
    <row r="3">
      <c r="A3" s="2"/>
      <c r="G3" s="30"/>
      <c r="H3" s="2"/>
    </row>
    <row r="4">
      <c r="A4" s="2" t="s">
        <v>2</v>
      </c>
      <c r="B4" s="1" t="s">
        <v>529</v>
      </c>
      <c r="C4" s="33" t="s">
        <v>528</v>
      </c>
      <c r="D4" s="1" t="s">
        <v>528</v>
      </c>
      <c r="E4" s="1" t="s">
        <v>531</v>
      </c>
      <c r="F4" s="1" t="s">
        <v>29</v>
      </c>
      <c r="G4" s="30"/>
      <c r="H4" s="1" t="s">
        <v>29</v>
      </c>
      <c r="I4" s="1" t="s">
        <v>536</v>
      </c>
      <c r="J4" s="1" t="s">
        <v>29</v>
      </c>
    </row>
    <row r="5">
      <c r="B5" t="str">
        <f>VLOOKUP(B4,$A$27:$B$41,2,FALSE)</f>
        <v>Sanjay Gupta</v>
      </c>
      <c r="C5" t="str">
        <f t="shared" ref="C5:D5" si="1">VLOOKUP(C4,$A$26:$B$41,2,FALSE)</f>
        <v>Roy Joseph P.</v>
      </c>
      <c r="D5" s="11" t="str">
        <f t="shared" si="1"/>
        <v>Roy Joseph P.</v>
      </c>
      <c r="E5" s="11" t="str">
        <f t="shared" ref="E5:F5" si="2">VLOOKUP(E4,$A$27:$B$41,2,FALSE)</f>
        <v>Sanjay Gupta/Ransdel Manuel</v>
      </c>
      <c r="F5" s="11" t="str">
        <f t="shared" si="2"/>
        <v>-</v>
      </c>
      <c r="G5" s="30"/>
      <c r="H5" t="str">
        <f t="shared" ref="H5:J5" si="3">VLOOKUP(H4,$A$27:$B$41,2,FALSE)</f>
        <v>-</v>
      </c>
      <c r="I5" t="str">
        <f t="shared" si="3"/>
        <v>Sanchayan K Ray/Sharmilee Acharyya/Aatreyee Choudhary</v>
      </c>
      <c r="J5" t="str">
        <f t="shared" si="3"/>
        <v>-</v>
      </c>
    </row>
    <row r="6">
      <c r="A6" s="2"/>
      <c r="G6" s="30"/>
      <c r="H6" s="2"/>
    </row>
    <row r="7">
      <c r="G7" s="30"/>
    </row>
    <row r="8">
      <c r="A8" s="2" t="s">
        <v>3</v>
      </c>
      <c r="B8" s="1" t="s">
        <v>529</v>
      </c>
      <c r="C8" s="1" t="s">
        <v>29</v>
      </c>
      <c r="D8" s="1" t="s">
        <v>29</v>
      </c>
      <c r="E8" s="1" t="s">
        <v>29</v>
      </c>
      <c r="F8" s="1" t="s">
        <v>29</v>
      </c>
      <c r="G8" s="30"/>
      <c r="H8" s="1" t="s">
        <v>29</v>
      </c>
      <c r="I8" s="1" t="s">
        <v>536</v>
      </c>
      <c r="J8" s="1" t="s">
        <v>531</v>
      </c>
    </row>
    <row r="9">
      <c r="B9" t="str">
        <f t="shared" ref="B9:F9" si="4">VLOOKUP(B8,$A$27:$B$41,2,FALSE)</f>
        <v>Sanjay Gupta</v>
      </c>
      <c r="C9" t="str">
        <f t="shared" si="4"/>
        <v>-</v>
      </c>
      <c r="D9" t="str">
        <f t="shared" si="4"/>
        <v>-</v>
      </c>
      <c r="E9" t="str">
        <f t="shared" si="4"/>
        <v>-</v>
      </c>
      <c r="F9" t="str">
        <f t="shared" si="4"/>
        <v>-</v>
      </c>
      <c r="G9" s="30"/>
      <c r="H9" t="str">
        <f t="shared" ref="H9:J9" si="5">VLOOKUP(H8,$A$27:$B$41,2,FALSE)</f>
        <v>-</v>
      </c>
      <c r="I9" t="str">
        <f t="shared" si="5"/>
        <v>Sanchayan K Ray/Sharmilee Acharyya/Aatreyee Choudhary</v>
      </c>
      <c r="J9" t="str">
        <f t="shared" si="5"/>
        <v>Sanjay Gupta/Ransdel Manuel</v>
      </c>
    </row>
    <row r="10">
      <c r="A10" s="2"/>
      <c r="G10" s="30"/>
      <c r="H10" s="2"/>
    </row>
    <row r="11">
      <c r="G11" s="30"/>
    </row>
    <row r="12">
      <c r="A12" s="2" t="s">
        <v>6</v>
      </c>
      <c r="B12" s="1" t="s">
        <v>529</v>
      </c>
      <c r="C12" s="1" t="s">
        <v>29</v>
      </c>
      <c r="D12" s="1" t="s">
        <v>536</v>
      </c>
      <c r="E12" s="1" t="s">
        <v>536</v>
      </c>
      <c r="F12" s="1" t="s">
        <v>29</v>
      </c>
      <c r="G12" s="30"/>
      <c r="H12" s="1" t="s">
        <v>29</v>
      </c>
      <c r="I12" s="1" t="s">
        <v>529</v>
      </c>
      <c r="J12" s="1" t="s">
        <v>29</v>
      </c>
    </row>
    <row r="13">
      <c r="B13" t="str">
        <f t="shared" ref="B13:F13" si="6">VLOOKUP(B12,$A$27:$B$41,2,FALSE)</f>
        <v>Sanjay Gupta</v>
      </c>
      <c r="C13" t="str">
        <f t="shared" si="6"/>
        <v>-</v>
      </c>
      <c r="D13" t="str">
        <f t="shared" si="6"/>
        <v>Sanchayan K Ray/Sharmilee Acharyya/Aatreyee Choudhary</v>
      </c>
      <c r="E13" t="str">
        <f t="shared" si="6"/>
        <v>Sanchayan K Ray/Sharmilee Acharyya/Aatreyee Choudhary</v>
      </c>
      <c r="F13" t="str">
        <f t="shared" si="6"/>
        <v>-</v>
      </c>
      <c r="G13" s="30"/>
      <c r="H13" t="str">
        <f t="shared" ref="H13:J13" si="7">VLOOKUP(H12,$A$27:$B$41,2,FALSE)</f>
        <v>-</v>
      </c>
      <c r="I13" t="str">
        <f t="shared" si="7"/>
        <v>Sanjay Gupta</v>
      </c>
      <c r="J13" t="str">
        <f t="shared" si="7"/>
        <v>-</v>
      </c>
    </row>
    <row r="14">
      <c r="A14" s="2"/>
      <c r="G14" s="30"/>
      <c r="H14" s="2"/>
    </row>
    <row r="15">
      <c r="G15" s="30"/>
    </row>
    <row r="16">
      <c r="A16" s="2" t="s">
        <v>88</v>
      </c>
      <c r="B16" s="1" t="s">
        <v>529</v>
      </c>
      <c r="C16" s="1" t="s">
        <v>530</v>
      </c>
      <c r="D16" s="1" t="s">
        <v>29</v>
      </c>
      <c r="E16" s="1" t="s">
        <v>29</v>
      </c>
      <c r="F16" s="1" t="s">
        <v>546</v>
      </c>
      <c r="G16" s="30"/>
      <c r="H16" s="1" t="s">
        <v>536</v>
      </c>
      <c r="I16" s="33" t="s">
        <v>29</v>
      </c>
      <c r="J16" s="1" t="s">
        <v>530</v>
      </c>
    </row>
    <row r="17">
      <c r="B17" t="str">
        <f t="shared" ref="B17:F17" si="8">VLOOKUP(B16,$A$27:$B$41,2,FALSE)</f>
        <v>Sanjay Gupta</v>
      </c>
      <c r="C17" t="str">
        <f t="shared" si="8"/>
        <v>Mathew Sam</v>
      </c>
      <c r="D17" t="str">
        <f t="shared" si="8"/>
        <v>-</v>
      </c>
      <c r="E17" t="str">
        <f t="shared" si="8"/>
        <v>-</v>
      </c>
      <c r="F17" t="str">
        <f t="shared" si="8"/>
        <v>James Badal + Fr.Rector</v>
      </c>
      <c r="G17" s="30"/>
      <c r="H17" t="str">
        <f t="shared" ref="H17:J17" si="9">VLOOKUP(H16,$A$27:$B$41,2,FALSE)</f>
        <v>Sanchayan K Ray/Sharmilee Acharyya/Aatreyee Choudhary</v>
      </c>
      <c r="I17" t="str">
        <f t="shared" si="9"/>
        <v>-</v>
      </c>
      <c r="J17" t="str">
        <f t="shared" si="9"/>
        <v>Mathew Sam</v>
      </c>
    </row>
    <row r="18">
      <c r="A18" s="2"/>
      <c r="G18" s="30"/>
      <c r="H18" s="2"/>
    </row>
    <row r="19">
      <c r="G19" s="30"/>
    </row>
    <row r="20">
      <c r="A20" s="2" t="s">
        <v>11</v>
      </c>
      <c r="B20" s="1" t="s">
        <v>529</v>
      </c>
      <c r="C20" s="1" t="s">
        <v>536</v>
      </c>
      <c r="D20" s="1" t="s">
        <v>29</v>
      </c>
      <c r="E20" s="1" t="s">
        <v>29</v>
      </c>
      <c r="F20" s="1" t="s">
        <v>531</v>
      </c>
      <c r="G20" s="30"/>
      <c r="H20" s="33" t="s">
        <v>29</v>
      </c>
      <c r="I20" s="33" t="s">
        <v>29</v>
      </c>
      <c r="J20" s="33" t="s">
        <v>29</v>
      </c>
    </row>
    <row r="21" ht="15.75" customHeight="1">
      <c r="B21" t="str">
        <f t="shared" ref="B21:F21" si="10">VLOOKUP(B20,$A$27:$B$41,2,FALSE)</f>
        <v>Sanjay Gupta</v>
      </c>
      <c r="C21" t="str">
        <f t="shared" si="10"/>
        <v>Sanchayan K Ray/Sharmilee Acharyya/Aatreyee Choudhary</v>
      </c>
      <c r="D21" t="str">
        <f t="shared" si="10"/>
        <v>-</v>
      </c>
      <c r="E21" t="str">
        <f t="shared" si="10"/>
        <v>-</v>
      </c>
      <c r="F21" t="str">
        <f t="shared" si="10"/>
        <v>Sanjay Gupta/Ransdel Manuel</v>
      </c>
      <c r="G21" s="30"/>
      <c r="H21" s="34" t="str">
        <f t="shared" ref="H21:J21" si="11">VLOOKUP(H20,$A$27:$B$41,2,FALSE)</f>
        <v>-</v>
      </c>
      <c r="I21" s="34" t="str">
        <f t="shared" si="11"/>
        <v>-</v>
      </c>
      <c r="J21" s="34" t="str">
        <f t="shared" si="11"/>
        <v>-</v>
      </c>
    </row>
    <row r="22" ht="15.75" customHeight="1"/>
    <row r="23" ht="15.75" customHeight="1"/>
    <row r="24" ht="15.75" customHeight="1"/>
    <row r="25" ht="15.75" customHeight="1">
      <c r="A25" s="1" t="s">
        <v>554</v>
      </c>
      <c r="B25" s="1" t="s">
        <v>617</v>
      </c>
      <c r="C25" s="1" t="s">
        <v>618</v>
      </c>
      <c r="D25" s="1" t="s">
        <v>619</v>
      </c>
      <c r="E25" s="1" t="s">
        <v>623</v>
      </c>
    </row>
    <row r="26" ht="15.75" customHeight="1">
      <c r="A26" t="s">
        <v>528</v>
      </c>
      <c r="B26" t="s">
        <v>219</v>
      </c>
      <c r="C26">
        <v>6.0</v>
      </c>
      <c r="D26">
        <f t="shared" ref="D26:D34" si="12">$C26-COUNTIF($A$4:$J$21,$A26)</f>
        <v>4</v>
      </c>
      <c r="E26">
        <v>0.0</v>
      </c>
    </row>
    <row r="27" ht="15.75" customHeight="1">
      <c r="A27" t="s">
        <v>530</v>
      </c>
      <c r="B27" t="s">
        <v>143</v>
      </c>
      <c r="C27">
        <v>6.0</v>
      </c>
      <c r="D27">
        <f t="shared" si="12"/>
        <v>4</v>
      </c>
      <c r="E27">
        <v>1.0</v>
      </c>
    </row>
    <row r="28" ht="15.75" customHeight="1">
      <c r="A28" t="s">
        <v>538</v>
      </c>
      <c r="B28" t="s">
        <v>66</v>
      </c>
      <c r="C28">
        <v>4.0</v>
      </c>
      <c r="D28">
        <f t="shared" si="12"/>
        <v>4</v>
      </c>
      <c r="E28">
        <v>0.0</v>
      </c>
    </row>
    <row r="29" ht="15.75" customHeight="1">
      <c r="A29" t="s">
        <v>537</v>
      </c>
      <c r="B29" t="s">
        <v>201</v>
      </c>
      <c r="C29">
        <v>4.0</v>
      </c>
      <c r="D29">
        <f t="shared" si="12"/>
        <v>4</v>
      </c>
      <c r="E29">
        <v>0.0</v>
      </c>
    </row>
    <row r="30" ht="15.75" customHeight="1">
      <c r="A30" t="s">
        <v>1</v>
      </c>
      <c r="B30" t="s">
        <v>1</v>
      </c>
      <c r="C30">
        <v>1.0</v>
      </c>
      <c r="D30">
        <f t="shared" si="12"/>
        <v>1</v>
      </c>
      <c r="E30">
        <v>0.0</v>
      </c>
    </row>
    <row r="31" ht="15.75" customHeight="1">
      <c r="A31" t="s">
        <v>536</v>
      </c>
      <c r="B31" t="s">
        <v>624</v>
      </c>
      <c r="C31">
        <v>6.0</v>
      </c>
      <c r="D31">
        <f t="shared" si="12"/>
        <v>0</v>
      </c>
      <c r="E31">
        <v>0.0</v>
      </c>
    </row>
    <row r="32" ht="15.75" customHeight="1">
      <c r="A32" t="s">
        <v>546</v>
      </c>
      <c r="B32" t="s">
        <v>371</v>
      </c>
      <c r="C32">
        <v>1.0</v>
      </c>
      <c r="D32">
        <f t="shared" si="12"/>
        <v>0</v>
      </c>
      <c r="E32">
        <v>0.0</v>
      </c>
    </row>
    <row r="33" ht="15.75" customHeight="1">
      <c r="A33" t="s">
        <v>529</v>
      </c>
      <c r="B33" t="s">
        <v>298</v>
      </c>
      <c r="C33">
        <v>6.0</v>
      </c>
      <c r="D33">
        <f t="shared" si="12"/>
        <v>0</v>
      </c>
      <c r="E33">
        <v>1.0</v>
      </c>
    </row>
    <row r="34" ht="15.75" customHeight="1">
      <c r="A34" t="s">
        <v>531</v>
      </c>
      <c r="B34" t="s">
        <v>565</v>
      </c>
      <c r="C34">
        <v>3.0</v>
      </c>
      <c r="D34">
        <f t="shared" si="12"/>
        <v>0</v>
      </c>
      <c r="E34">
        <v>0.0</v>
      </c>
    </row>
    <row r="35" ht="15.75" customHeight="1">
      <c r="A35" t="s">
        <v>29</v>
      </c>
      <c r="B35" t="s">
        <v>253</v>
      </c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16:A17"/>
    <mergeCell ref="A18:F19"/>
    <mergeCell ref="H18:J19"/>
    <mergeCell ref="A20:A21"/>
    <mergeCell ref="A10:F11"/>
    <mergeCell ref="A14:F15"/>
    <mergeCell ref="H14:J15"/>
    <mergeCell ref="H6:J7"/>
    <mergeCell ref="H10:J11"/>
    <mergeCell ref="A8:A9"/>
    <mergeCell ref="A12:A13"/>
    <mergeCell ref="A1:D1"/>
    <mergeCell ref="A3:F3"/>
    <mergeCell ref="A4:A5"/>
    <mergeCell ref="A6:F7"/>
    <mergeCell ref="H3:J3"/>
  </mergeCells>
  <dataValidations>
    <dataValidation type="list" allowBlank="1" showErrorMessage="1" sqref="B32">
      <formula1>INDIRECT($A$32)</formula1>
    </dataValidation>
    <dataValidation type="list" allowBlank="1" showErrorMessage="1" sqref="B33">
      <formula1>INDIRECT($A$33)</formula1>
    </dataValidation>
    <dataValidation type="list" allowBlank="1" showErrorMessage="1" sqref="B30">
      <formula1>INDIRECT($A$30)</formula1>
    </dataValidation>
    <dataValidation type="list" allowBlank="1" showErrorMessage="1" sqref="B4:J4 B8:F8 H8:J8 B12:F12 H12:J12 B16:F16 H16:J16 B20:F20 H20:J20">
      <formula1>Subjects</formula1>
    </dataValidation>
    <dataValidation type="list" allowBlank="1" showErrorMessage="1" sqref="H6">
      <formula1>INDIRECT($H$4)</formula1>
    </dataValidation>
    <dataValidation type="list" allowBlank="1" showErrorMessage="1" sqref="B27">
      <formula1>INDIRECT($A$27)</formula1>
    </dataValidation>
    <dataValidation type="list" allowBlank="1" showErrorMessage="1" sqref="B34">
      <formula1>INDIRECT($A$34)</formula1>
    </dataValidation>
    <dataValidation type="list" allowBlank="1" showErrorMessage="1" sqref="B28">
      <formula1>INDIRECT($A$28)</formula1>
    </dataValidation>
    <dataValidation type="list" allowBlank="1" showErrorMessage="1" sqref="B35">
      <formula1>INDIRECT($A$35)</formula1>
    </dataValidation>
    <dataValidation type="list" allowBlank="1" showErrorMessage="1" sqref="B26">
      <formula1>INDIRECT($A$26)</formula1>
    </dataValidation>
    <dataValidation type="list" allowBlank="1" showErrorMessage="1" sqref="B31">
      <formula1>INDIRECT($A$31)</formula1>
    </dataValidation>
    <dataValidation type="list" allowBlank="1" showErrorMessage="1" sqref="B29">
      <formula1>INDIRECT($A$29)</formula1>
    </dataValidation>
  </dataValidations>
  <printOptions/>
  <pageMargins bottom="0.75" footer="0.0" header="0.0" left="0.7" right="0.7" top="0.75"/>
  <pageSetup orientation="landscape"/>
  <drawing r:id="rId1"/>
</worksheet>
</file>